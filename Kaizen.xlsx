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AC89C4-4F9D-43AD-B911-C6AA30D78C7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ams" sheetId="4" r:id="rId1"/>
    <sheet name="Hall wi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5" l="1"/>
  <c r="D52" i="5"/>
  <c r="E52" i="5"/>
  <c r="F52" i="5"/>
  <c r="B52" i="5"/>
  <c r="E33" i="4"/>
  <c r="E102" i="4"/>
  <c r="E172" i="4"/>
  <c r="E132" i="4"/>
  <c r="E218" i="4"/>
  <c r="G218" i="4" s="1"/>
  <c r="E37" i="4"/>
  <c r="F37" i="4" s="1"/>
  <c r="E123" i="4"/>
  <c r="F123" i="4" s="1"/>
  <c r="G123" i="4" s="1"/>
  <c r="J123" i="4" s="1"/>
  <c r="E90" i="4"/>
  <c r="F90" i="4" s="1"/>
  <c r="E49" i="4"/>
  <c r="F49" i="4" s="1"/>
  <c r="E169" i="4"/>
  <c r="F194" i="4"/>
  <c r="G194" i="4" s="1"/>
  <c r="E165" i="4"/>
  <c r="F165" i="4" s="1"/>
  <c r="E161" i="4"/>
  <c r="F161" i="4" s="1"/>
  <c r="F106" i="4"/>
  <c r="G106" i="4" s="1"/>
  <c r="F112" i="4"/>
  <c r="G112" i="4" s="1"/>
  <c r="G90" i="4" l="1"/>
  <c r="F132" i="4"/>
  <c r="G132" i="4" s="1"/>
  <c r="F172" i="4"/>
  <c r="G172" i="4" s="1"/>
  <c r="F102" i="4"/>
  <c r="G102" i="4" s="1"/>
  <c r="G37" i="4"/>
  <c r="F169" i="4"/>
  <c r="G169" i="4" s="1"/>
  <c r="F33" i="4"/>
  <c r="G33" i="4" s="1"/>
</calcChain>
</file>

<file path=xl/sharedStrings.xml><?xml version="1.0" encoding="utf-8"?>
<sst xmlns="http://schemas.openxmlformats.org/spreadsheetml/2006/main" count="626" uniqueCount="375">
  <si>
    <t>Fee</t>
  </si>
  <si>
    <t xml:space="preserve">Amount </t>
  </si>
  <si>
    <t>GST 18%</t>
  </si>
  <si>
    <t>Total</t>
  </si>
  <si>
    <t>Received</t>
  </si>
  <si>
    <t>Pending</t>
  </si>
  <si>
    <t>Compamy GST No</t>
  </si>
  <si>
    <t>GST Tax No</t>
  </si>
  <si>
    <t>33AAKCS6961P1ZK</t>
  </si>
  <si>
    <t>33AAKCS1050K1ZG</t>
  </si>
  <si>
    <t>33AAACS6855J1Z5</t>
  </si>
  <si>
    <t>33AAHCC0110F1ZJ</t>
  </si>
  <si>
    <t>33AACCR9772M1ZS</t>
  </si>
  <si>
    <t>TDS</t>
  </si>
  <si>
    <t>Mr. D. Ajith</t>
  </si>
  <si>
    <t>Mr. C. Karthikeyan</t>
  </si>
  <si>
    <t>Mr. G. Girivasan</t>
  </si>
  <si>
    <t>Mr. M.V. Krishna Rao</t>
  </si>
  <si>
    <t>36AAACJ7230N1ZD</t>
  </si>
  <si>
    <t>CHBR/25-26/220</t>
  </si>
  <si>
    <t>CHBR/25-26/221</t>
  </si>
  <si>
    <t>CHBR/25-26/222</t>
  </si>
  <si>
    <t>CHBR/25-26/224</t>
  </si>
  <si>
    <t>33AAHCD6897N1ZV</t>
  </si>
  <si>
    <t>Mr. K. Dhivia Prakash</t>
  </si>
  <si>
    <t xml:space="preserve">Mr. P. Prasanth </t>
  </si>
  <si>
    <t xml:space="preserve">Mr. M. Udhaya Suriyan </t>
  </si>
  <si>
    <t xml:space="preserve">Mr. P. Pushparaj </t>
  </si>
  <si>
    <t>33AACCS3003L1ZP</t>
  </si>
  <si>
    <t>33AAICA0489L1ZH</t>
  </si>
  <si>
    <t>CHBR/25-26/228</t>
  </si>
  <si>
    <t xml:space="preserve">CHBR/25-26/223 </t>
  </si>
  <si>
    <t>CHBR/25-26/225</t>
  </si>
  <si>
    <t>CHBR/25-26/226</t>
  </si>
  <si>
    <t>CHBR/25-26/227</t>
  </si>
  <si>
    <t>33AABCB1675N1ZL</t>
  </si>
  <si>
    <t>CHBR/25-26/229</t>
  </si>
  <si>
    <t xml:space="preserve">Mr. P.Mahendra </t>
  </si>
  <si>
    <t>Mr. M. Harikrishnan</t>
  </si>
  <si>
    <t>Mr. Albert Praveen Raj</t>
  </si>
  <si>
    <t>Mr. Dhineshkumar</t>
  </si>
  <si>
    <t>Mr. Sathishkumar</t>
  </si>
  <si>
    <t>Mr. Naresh</t>
  </si>
  <si>
    <t>Mr. V. Srinivasan</t>
  </si>
  <si>
    <t>Mr. H. Chabilal</t>
  </si>
  <si>
    <t xml:space="preserve">Mr. S. Ragupathy </t>
  </si>
  <si>
    <t xml:space="preserve">Mr. G. Saju </t>
  </si>
  <si>
    <t xml:space="preserve">Mr. C.  Panneerselvam </t>
  </si>
  <si>
    <t>33AABFM1112E1Z7</t>
  </si>
  <si>
    <t>CHBR/25-26/230</t>
  </si>
  <si>
    <t>33AABCF1590N1ZJ</t>
  </si>
  <si>
    <t>Sharda Motor Industries Limited - Irrungattukottai</t>
  </si>
  <si>
    <t>Sharda Motor Industries Limited - Mahindra World City</t>
  </si>
  <si>
    <t>CH/25-26/PI/01</t>
  </si>
  <si>
    <t>CHBR/25-26/231</t>
  </si>
  <si>
    <t>33AAACB2533Q1ZP</t>
  </si>
  <si>
    <t>CHBR/25-26/232</t>
  </si>
  <si>
    <t>Ashok Leyland Limited - Guindy, Corporate Office</t>
  </si>
  <si>
    <t>Mr. D. Sridhar</t>
  </si>
  <si>
    <t>Mr. D. Sugumar</t>
  </si>
  <si>
    <t>Mr. V. Adhinarayanan</t>
  </si>
  <si>
    <t>Mr. P. Venkatesh</t>
  </si>
  <si>
    <t>Mr. S.Mariappan</t>
  </si>
  <si>
    <t>CHBR/25-26/234</t>
  </si>
  <si>
    <t>33AAACA4651L1ZT</t>
  </si>
  <si>
    <t>CHBR/25-26/233</t>
  </si>
  <si>
    <t>33AAACB2531N1ZX</t>
  </si>
  <si>
    <t xml:space="preserve"> 33AABCS4985J1Z1</t>
  </si>
  <si>
    <t xml:space="preserve">Mr. V.  Prabhu </t>
  </si>
  <si>
    <t>Mr. A. Gopinath A</t>
  </si>
  <si>
    <t>CHBR/25-26/235</t>
  </si>
  <si>
    <t>CHBR/25-26/236</t>
  </si>
  <si>
    <t>CHBR/25-26/237</t>
  </si>
  <si>
    <t>Ms. Madhvi</t>
  </si>
  <si>
    <t>Mr. Karikalan</t>
  </si>
  <si>
    <t>Mr. Narayanan  </t>
  </si>
  <si>
    <t>Mr. Kamal</t>
  </si>
  <si>
    <t>Ms. Priya</t>
  </si>
  <si>
    <t>Mr. Mani</t>
  </si>
  <si>
    <t>Mr. Abel</t>
  </si>
  <si>
    <t>Albonair (India) Private Limited - Ennore</t>
  </si>
  <si>
    <t>Steel Strips Wheels Limited - Oragadam</t>
  </si>
  <si>
    <t>Carborundum Universal Limited, Industrial Ceramics Division- Hosur</t>
  </si>
  <si>
    <t>Daimler India Commercial Vehicles Pvt. Ltd - Oragadam</t>
  </si>
  <si>
    <t>Modern Forgings - OMR</t>
  </si>
  <si>
    <t>Crowntech Surface Treatment Private Limited - Pillaipakkam</t>
  </si>
  <si>
    <t>Besmak Comonents Private Limited - Oragadam</t>
  </si>
  <si>
    <t>CHBR/25-26/238</t>
  </si>
  <si>
    <t>Mr. O. Tharmar</t>
  </si>
  <si>
    <t xml:space="preserve">Mr. S. Alagirisamy </t>
  </si>
  <si>
    <t xml:space="preserve">Mr.V.  Namachivayam </t>
  </si>
  <si>
    <t>Mr. Suresh</t>
  </si>
  <si>
    <t>Mr. Saloni Agrawal</t>
  </si>
  <si>
    <t xml:space="preserve">Mr. N. Senthilkumar </t>
  </si>
  <si>
    <t>Mr..G. Kumar</t>
  </si>
  <si>
    <t>Mr. M..Rajan</t>
  </si>
  <si>
    <t>Mr. S. Charli</t>
  </si>
  <si>
    <t>Mr. Muthuraj</t>
  </si>
  <si>
    <t>Mr. Prakash</t>
  </si>
  <si>
    <t xml:space="preserve">Mr. B. Kesavan </t>
  </si>
  <si>
    <t>33AABCP3452H1ZP</t>
  </si>
  <si>
    <t>Automotive Axles Limited - Mysuru</t>
  </si>
  <si>
    <t xml:space="preserve">Mr. G. Umesh </t>
  </si>
  <si>
    <t>Mr. Suman Soumyaranjan Biswal</t>
  </si>
  <si>
    <t xml:space="preserve">Mr. S. Dinesh </t>
  </si>
  <si>
    <t xml:space="preserve">Mr. J. Pavan </t>
  </si>
  <si>
    <t>29AABCA6923G1ZP</t>
  </si>
  <si>
    <t>CHBR/25-26/239</t>
  </si>
  <si>
    <t>CHBR/25-26/240</t>
  </si>
  <si>
    <t>Mr. H.K. Umesh</t>
  </si>
  <si>
    <t xml:space="preserve">Mr. M. Muthu </t>
  </si>
  <si>
    <t xml:space="preserve">Mr. M. Subramanyam </t>
  </si>
  <si>
    <t xml:space="preserve"> CHBR Axis</t>
  </si>
  <si>
    <t>CHBR IOB-15667</t>
  </si>
  <si>
    <t>Violin Technologies Pvt Ltd. - Tambaram</t>
  </si>
  <si>
    <t xml:space="preserve">Mr. K. Vijay </t>
  </si>
  <si>
    <t xml:space="preserve">Mr. S. Lokesh </t>
  </si>
  <si>
    <t xml:space="preserve">Mr. S. Arvind </t>
  </si>
  <si>
    <t xml:space="preserve">Mr. A. Jeevanandham </t>
  </si>
  <si>
    <t xml:space="preserve">Mr. M. Mariyappan </t>
  </si>
  <si>
    <t>33AAFCV5398E2Z3</t>
  </si>
  <si>
    <t>CHBR/25-26/241</t>
  </si>
  <si>
    <t>33AAACS0206P1ZK</t>
  </si>
  <si>
    <t xml:space="preserve">Mr. Duraiselvan </t>
  </si>
  <si>
    <t>Mr .Mahesh Kumar</t>
  </si>
  <si>
    <t>CHBR/25-26/242</t>
  </si>
  <si>
    <t>SRF Limited - Manali - Chennai</t>
  </si>
  <si>
    <t>Rane Madras Ltd. (SLD), Puducherry.</t>
  </si>
  <si>
    <t xml:space="preserve">Mr. R. Vimalraj </t>
  </si>
  <si>
    <t>34AACCR9772M1ZQ</t>
  </si>
  <si>
    <t>CHBR/25-26/243</t>
  </si>
  <si>
    <t>Mr. A. Mohamed Ibrahim     </t>
  </si>
  <si>
    <t>Mr. M. Sureshkumar</t>
  </si>
  <si>
    <t>Mr. S. Ramasamy</t>
  </si>
  <si>
    <t xml:space="preserve">Mr. T. BALASUBRAMANIAN </t>
  </si>
  <si>
    <t>Mr. S. Vignesh</t>
  </si>
  <si>
    <t>Mr. G. Balachadar</t>
  </si>
  <si>
    <t>Mr. Praveenraj</t>
  </si>
  <si>
    <t>CHBR/25-26/244</t>
  </si>
  <si>
    <t>S. Sivasankar</t>
  </si>
  <si>
    <t>S. Ajith</t>
  </si>
  <si>
    <t>M. Srinivasan</t>
  </si>
  <si>
    <t>B. Karthick</t>
  </si>
  <si>
    <t xml:space="preserve">Mr. N. Vishwanath </t>
  </si>
  <si>
    <t>33AAACP6469R1ZQ</t>
  </si>
  <si>
    <t>Mr. R. Esakki Manikandan</t>
  </si>
  <si>
    <t xml:space="preserve">Mr. Harikrishnan Sendhilkumar </t>
  </si>
  <si>
    <t>Ms. R. Jayasri</t>
  </si>
  <si>
    <t>Mr. P. Dineshkumar</t>
  </si>
  <si>
    <t> 33AADCP4173F1ZN</t>
  </si>
  <si>
    <t xml:space="preserve">Mr. K. Narasimhan </t>
  </si>
  <si>
    <t>Polyhose India  Pvt Ltd - Pudupakkam</t>
  </si>
  <si>
    <t>Polyhose India (Rubber) Pvt Ltd - Irunkattukottai</t>
  </si>
  <si>
    <t>Polyhose India Pvt Ltd – Unit IV - Guduvancherry</t>
  </si>
  <si>
    <t xml:space="preserve">Mr. Gosu Ramaiah </t>
  </si>
  <si>
    <t>CHBR/25-26/246</t>
  </si>
  <si>
    <t xml:space="preserve">NEFT-CIUB-CIUBH26036035447- Padma Narasimhan Industrial Training Institute -  Thiruvarur </t>
  </si>
  <si>
    <t>NEFT-HDFC-HDFCH00798805333Modern Forgings - OMR-0001</t>
  </si>
  <si>
    <t>UPI/604427890811/CR/  DAMODARAN  Precision Equipments (Chennai) Pvt Ltd</t>
  </si>
  <si>
    <t>Mr. K. Anbazhagan</t>
  </si>
  <si>
    <t>Mr. R. Gopalakrishna</t>
  </si>
  <si>
    <t>Mr. S. Arunan</t>
  </si>
  <si>
    <t> 33AABCT3125D1ZZ</t>
  </si>
  <si>
    <t>CHBR/25-26/249</t>
  </si>
  <si>
    <t>CHBR/25-26/247</t>
  </si>
  <si>
    <t>CHBR/25-26/248</t>
  </si>
  <si>
    <t>Wheels India Limited - Padi, Chennai</t>
  </si>
  <si>
    <t xml:space="preserve">Mr. M. Murugaraj </t>
  </si>
  <si>
    <t xml:space="preserve">Mr. K. Prabakaran </t>
  </si>
  <si>
    <t xml:space="preserve">Mr. M. Shankaran </t>
  </si>
  <si>
    <t xml:space="preserve">Mr. V. Vasanth </t>
  </si>
  <si>
    <t>Ashok Leyland Limited - Ennore Central Quality</t>
  </si>
  <si>
    <t>Ashok Leyland Limited - Ennore Project Planning</t>
  </si>
  <si>
    <t>Mr. E. Janarthanan</t>
  </si>
  <si>
    <t>Mr. D. Ganapati</t>
  </si>
  <si>
    <t>Mr. S.N. Shashidhar</t>
  </si>
  <si>
    <t>Mr. Kirubakaran</t>
  </si>
  <si>
    <t>Mr. Nikhil Singh</t>
  </si>
  <si>
    <t>Mr. K. Sri Balaaji</t>
  </si>
  <si>
    <t>Mr. Chetan</t>
  </si>
  <si>
    <t>Ashok Leyland Limited - Ennore Foundry Division</t>
  </si>
  <si>
    <t xml:space="preserve">Mr. N. G. Vimal Prakash </t>
  </si>
  <si>
    <t xml:space="preserve">Mr. S. M. Fazal Imthiyaz </t>
  </si>
  <si>
    <t>33AAACW0315K1ZO</t>
  </si>
  <si>
    <t>CHBR/25-26/250</t>
  </si>
  <si>
    <t>33AABCS4338M1Z8</t>
  </si>
  <si>
    <t>CHBR/25-26/251</t>
  </si>
  <si>
    <t>33AAACS4909F1ZN</t>
  </si>
  <si>
    <t>SIMPSON &amp; Company Limited - Chennai</t>
  </si>
  <si>
    <t>33AAACI1439E1Z4</t>
  </si>
  <si>
    <t>CHBR/25-26/252</t>
  </si>
  <si>
    <t>CHBR/25-26/253</t>
  </si>
  <si>
    <t>SAINT-GOBAIN INDIA PRIVATE LIMITED - Sriperumbudur</t>
  </si>
  <si>
    <t xml:space="preserve">Mr. A. Kannan </t>
  </si>
  <si>
    <t xml:space="preserve">Mr. S. Praveen </t>
  </si>
  <si>
    <t>Ashok Leyland Limited - Sriperumbudur Foundry Division</t>
  </si>
  <si>
    <t xml:space="preserve">Mr. L. Janakiraman </t>
  </si>
  <si>
    <t xml:space="preserve">Mr. R. Rajmohan </t>
  </si>
  <si>
    <t>Mr. K. Babu K</t>
  </si>
  <si>
    <t>Mr. K.Anandan</t>
  </si>
  <si>
    <t>Mr. S.Munirathinam</t>
  </si>
  <si>
    <t>Mr. S. Boopathy</t>
  </si>
  <si>
    <t>Mr. P.AnandaBabu</t>
  </si>
  <si>
    <t>Mr. M. Mani</t>
  </si>
  <si>
    <t>Mr. B. Lokesh</t>
  </si>
  <si>
    <t>Mr. R. Sriram</t>
  </si>
  <si>
    <t>Mr. V. Jeevanandam</t>
  </si>
  <si>
    <t>Mr. Murugan</t>
  </si>
  <si>
    <t>Mr. K. Palani</t>
  </si>
  <si>
    <t>Mr. M.Y. Karthikeyan</t>
  </si>
  <si>
    <t>Carborundum Universal Limited, Tiruvottiyur</t>
  </si>
  <si>
    <t>CH/25-26/PI/007</t>
  </si>
  <si>
    <t xml:space="preserve">Mr. S. Murugan </t>
  </si>
  <si>
    <t xml:space="preserve">Mr. S. Thirumal </t>
  </si>
  <si>
    <t>Mr. Pradeep Kumar Nayak</t>
  </si>
  <si>
    <t xml:space="preserve">Mr. A. Govarthan </t>
  </si>
  <si>
    <t xml:space="preserve">Mr. I. Chinnaraj </t>
  </si>
  <si>
    <t xml:space="preserve">Mr. C M. Navaneeth </t>
  </si>
  <si>
    <t xml:space="preserve">Mr. N. Aravindan </t>
  </si>
  <si>
    <t xml:space="preserve">Mr. P. Silambarasan </t>
  </si>
  <si>
    <t>Mr. Mohamed Subhan</t>
  </si>
  <si>
    <t>Mr. Ch Sai Praveen</t>
  </si>
  <si>
    <t>Mr. Harsh Sharma</t>
  </si>
  <si>
    <t>Mr.V. Karthick</t>
  </si>
  <si>
    <t>Mr.K. Balasubramani</t>
  </si>
  <si>
    <t>33AAACR8724R1ZU</t>
  </si>
  <si>
    <t>CHBR/25-26/254</t>
  </si>
  <si>
    <t>33AAFCA6421P1ZK</t>
  </si>
  <si>
    <t>CHBR/25-26/255</t>
  </si>
  <si>
    <t>ZF Commercial Vehicle Control Systems India Limited - Ambattur</t>
  </si>
  <si>
    <t>Super Auto Forge Limited</t>
  </si>
  <si>
    <t>Mr.M.ARUN KUMAR</t>
  </si>
  <si>
    <t>Mr.M.DHARMARAJ</t>
  </si>
  <si>
    <t>Mr.S.SELVAKUMAR</t>
  </si>
  <si>
    <t>MR.T.VIGNESH</t>
  </si>
  <si>
    <t>MR.C.Vishwa</t>
  </si>
  <si>
    <t>MR.L.Balasundar </t>
  </si>
  <si>
    <t>Mr. Arun</t>
  </si>
  <si>
    <t>Mr. Siddharth</t>
  </si>
  <si>
    <t>Mr.Saravanan</t>
  </si>
  <si>
    <t>Mr.Rajasekar</t>
  </si>
  <si>
    <t>33AABCS0459B3ZV</t>
  </si>
  <si>
    <t xml:space="preserve">Mr. M. Vivek </t>
  </si>
  <si>
    <t xml:space="preserve">Mr. B. Sathishkumar </t>
  </si>
  <si>
    <t xml:space="preserve">Mr.  S. Maran </t>
  </si>
  <si>
    <t xml:space="preserve">Mr. D. Sathishkumar </t>
  </si>
  <si>
    <t>Mr. V. Rajeshkumar</t>
  </si>
  <si>
    <t xml:space="preserve">Mr. M. ArivuSelvam </t>
  </si>
  <si>
    <t xml:space="preserve">Mr. R. Mohan </t>
  </si>
  <si>
    <t>Mr. Ashok Kumar</t>
  </si>
  <si>
    <t>Mr. Purushothaman</t>
  </si>
  <si>
    <t>Mr. S. Dinesh</t>
  </si>
  <si>
    <t>Mr. P. Vadivel</t>
  </si>
  <si>
    <t>Mr. Vijayakumar</t>
  </si>
  <si>
    <t>Mr. V. Vijayakumar</t>
  </si>
  <si>
    <t> Mr. M. Praveen</t>
  </si>
  <si>
    <t>Mr. J. Rajkumar</t>
  </si>
  <si>
    <t>33AAACC2474P1ZI</t>
  </si>
  <si>
    <t>Mr. K. Ranjith Kumar</t>
  </si>
  <si>
    <t>Mr. S. Dhayanithi</t>
  </si>
  <si>
    <t>Mr. R. Selvavinaygam</t>
  </si>
  <si>
    <t>Mr. A. Hariesh</t>
  </si>
  <si>
    <t>Mr. L. Shanmugasundaram</t>
  </si>
  <si>
    <t>34AABCT3125DIZX</t>
  </si>
  <si>
    <t>CHBR/25-26/258</t>
  </si>
  <si>
    <t>CHBR/25-26/257</t>
  </si>
  <si>
    <t>CHBR/25-26/256</t>
  </si>
  <si>
    <t>Mr. Manikandan</t>
  </si>
  <si>
    <t>Mr. Jebin</t>
  </si>
  <si>
    <t>33AAFCP7262H1ZD</t>
  </si>
  <si>
    <t>CHBR/25-26/259</t>
  </si>
  <si>
    <t xml:space="preserve">Mr. A. Vigneswaran </t>
  </si>
  <si>
    <t xml:space="preserve">Mr. M. Siva Subramanian </t>
  </si>
  <si>
    <t>CH/25-26/PI/004</t>
  </si>
  <si>
    <t>CH/25-26/PI/05</t>
  </si>
  <si>
    <t>CH/25-26/PI/06</t>
  </si>
  <si>
    <t>CH/25-26/PI/008</t>
  </si>
  <si>
    <t>Mr. Sivaji</t>
  </si>
  <si>
    <t xml:space="preserve">Mr. S. PANDIYAN </t>
  </si>
  <si>
    <t xml:space="preserve">Mr. V. Ram Pragadish </t>
  </si>
  <si>
    <t>Ms. Supriya Sunkavalli</t>
  </si>
  <si>
    <t xml:space="preserve">Mr. G. Harivignesh </t>
  </si>
  <si>
    <t>Ms. S.Veithegi</t>
  </si>
  <si>
    <t>Ms. S. Vidya</t>
  </si>
  <si>
    <t>Ms. Almas Banu</t>
  </si>
  <si>
    <t>Ms. M. Jayanthi</t>
  </si>
  <si>
    <t>Ms. P .Akshaya Vinisha</t>
  </si>
  <si>
    <t>Ms. L. Sathya</t>
  </si>
  <si>
    <t>Mr. V.  Anbasaran</t>
  </si>
  <si>
    <t xml:space="preserve">Mr. R.  DHINESH KUMAR </t>
  </si>
  <si>
    <t xml:space="preserve">Mr. S. Saravanan </t>
  </si>
  <si>
    <t xml:space="preserve">Ms. N. G. Harini </t>
  </si>
  <si>
    <t xml:space="preserve">Mr. S. Harikarthikeyan </t>
  </si>
  <si>
    <t>Mr. R. Ajaykrishnan</t>
  </si>
  <si>
    <t>Ms. HARIKA DEVI KOLLATI</t>
  </si>
  <si>
    <t>Mr. MUTHU MURUGAN R</t>
  </si>
  <si>
    <t>Mr. NANJUNDESWARAN N</t>
  </si>
  <si>
    <t>Mr.KAMRAN B</t>
  </si>
  <si>
    <t>Mr RAJIV V</t>
  </si>
  <si>
    <t xml:space="preserve">Mr S. GANESAN </t>
  </si>
  <si>
    <t>Ms. SUNANDA P</t>
  </si>
  <si>
    <t>Mr. DHANUSKODI K</t>
  </si>
  <si>
    <t>Mr SASIDHARAN U</t>
  </si>
  <si>
    <t>Mr. ARUNKUMAR M</t>
  </si>
  <si>
    <t>Mr GUNASEKARAN P</t>
  </si>
  <si>
    <t>Mr. ANGAPPAN M</t>
  </si>
  <si>
    <t>Ms. AMULYA KAVALI</t>
  </si>
  <si>
    <t>Mr. ASWIN G</t>
  </si>
  <si>
    <t>Mr. MOHAN RAJ K</t>
  </si>
  <si>
    <t>Mr THANGADURAI P</t>
  </si>
  <si>
    <t>Mr.K .FASULUL HAQ K</t>
  </si>
  <si>
    <t>Mr. MAZIYADHAS C</t>
  </si>
  <si>
    <t>Mr. AJITH S</t>
  </si>
  <si>
    <t>Mr. VENGADESH A</t>
  </si>
  <si>
    <t>Mr. PRITHIVIRAJ P</t>
  </si>
  <si>
    <t>Mr. NEMI PRASATH A</t>
  </si>
  <si>
    <t>Mrt. SARATHKUMAR M</t>
  </si>
  <si>
    <t>Mr. SURESH K</t>
  </si>
  <si>
    <t>Mr. BALAJI T</t>
  </si>
  <si>
    <t>Mr. GANESHKUMAR P</t>
  </si>
  <si>
    <t>Mr. DHINESH BALAJI S</t>
  </si>
  <si>
    <t>Mr. SATHYARAJ T</t>
  </si>
  <si>
    <t>Mr. Sanjay Anand N</t>
  </si>
  <si>
    <t>Mr. R. Venkatakrishnan</t>
  </si>
  <si>
    <t>Mr. N. SURENDRAN</t>
  </si>
  <si>
    <t xml:space="preserve">Mr. M. SREEDHARAN </t>
  </si>
  <si>
    <t xml:space="preserve">Mr. S. NANDHA KUMAR </t>
  </si>
  <si>
    <t xml:space="preserve">Mr. B. 	
KOWSHIK 	 
</t>
  </si>
  <si>
    <t>Mr. S. Varatharajan</t>
  </si>
  <si>
    <t>Mr. P. Ajithkumar</t>
  </si>
  <si>
    <t>Mr. S. Selvakumar</t>
  </si>
  <si>
    <t>Mr. D. Venkatesh</t>
  </si>
  <si>
    <t xml:space="preserve">Ms. L. Selva Keerthana </t>
  </si>
  <si>
    <t xml:space="preserve">Mr. P. Chandra Prakash </t>
  </si>
  <si>
    <t>Ms. Premavathi</t>
  </si>
  <si>
    <t xml:space="preserve">Mr. A. Stephen </t>
  </si>
  <si>
    <t>Mr. S prabhu</t>
  </si>
  <si>
    <t>Mr. A K Musadick</t>
  </si>
  <si>
    <t>Mr. A Gnanaprakasam</t>
  </si>
  <si>
    <t>Mr. Sakthi</t>
  </si>
  <si>
    <t>Mr. M Dinesh Kumar</t>
  </si>
  <si>
    <t>JK Fenner (India) Limited - Hyderabad</t>
  </si>
  <si>
    <t xml:space="preserve">Sri Balaji Castings Private Limited - Ambattur </t>
  </si>
  <si>
    <t>Precision Equipments (Chennai) Pvt Ltd - Irungattukottai</t>
  </si>
  <si>
    <t xml:space="preserve">Ashok Leyland Limited - Ennore </t>
  </si>
  <si>
    <t>Sri Eswari Auto Components Pvt. Ltd. - Pillaipakkam</t>
  </si>
  <si>
    <t>Mr. B. Rohit Venkat</t>
  </si>
  <si>
    <r>
      <t>Rico Auto Industries Ltd - Sriperumbudur</t>
    </r>
    <r>
      <rPr>
        <sz val="12"/>
        <color rgb="FFC00000"/>
        <rFont val="Arial"/>
        <family val="2"/>
      </rPr>
      <t xml:space="preserve"> </t>
    </r>
  </si>
  <si>
    <r>
      <t>Tenneco Automotive India Pvt. Ltd. - Pondicherry</t>
    </r>
    <r>
      <rPr>
        <sz val="12"/>
        <color rgb="FFC00000"/>
        <rFont val="Arial"/>
        <family val="2"/>
      </rPr>
      <t xml:space="preserve"> </t>
    </r>
  </si>
  <si>
    <t>Dinex Emission Solutions India Pvt. Ltd. - Mahindra World City</t>
  </si>
  <si>
    <t>Sicame India Connectors Pvt. Ltd. - Chengalpet</t>
  </si>
  <si>
    <t>Bonfiglioli Transmission Pvt. Ltd. - Thirumudivakkam</t>
  </si>
  <si>
    <t>Carborundum Universal Limited - Super Refractories &amp; Prodorite, Plant 2 - Vellore</t>
  </si>
  <si>
    <t xml:space="preserve">Brakes India Pvt. Ltd., Brake Division, Sholinghur </t>
  </si>
  <si>
    <t>Rane Madras Ltd. - Varanavasi</t>
  </si>
  <si>
    <t>Sri Balaji Castings Private Limited - Ambattur</t>
  </si>
  <si>
    <t xml:space="preserve">Prakash Techno Plast India Pvt.  Ltd. - Hosur </t>
  </si>
  <si>
    <t xml:space="preserve">Padma Narasimhan Industrial Training Institute -  Thiruvarur </t>
  </si>
  <si>
    <t>Mr. B. Sanjay</t>
  </si>
  <si>
    <t>Mr. S. Venkata Sai Gopiraj</t>
  </si>
  <si>
    <t>Mr. S. Narasimharaju</t>
  </si>
  <si>
    <t>Ms. Lakshi</t>
  </si>
  <si>
    <t xml:space="preserve">Mr. V. Subramanian </t>
  </si>
  <si>
    <t>H1</t>
  </si>
  <si>
    <t>H2</t>
  </si>
  <si>
    <t>H3</t>
  </si>
  <si>
    <t>H4</t>
  </si>
  <si>
    <t>H5</t>
  </si>
  <si>
    <t>India Pistons Ltd. - Sembiam</t>
  </si>
  <si>
    <t>Tenneco Automotive India Pvt. Ltd., - Hosur</t>
  </si>
  <si>
    <t>Organization</t>
  </si>
  <si>
    <t>KAIZEN Competition 2026</t>
  </si>
  <si>
    <t>Hall Allotment</t>
  </si>
  <si>
    <t>Team No.</t>
  </si>
  <si>
    <t>Delegates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</si>
</sst>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2"/>
      <color rgb="FF18181B"/>
      <name val="Arial"/>
      <family val="2"/>
    </font>
    <font>
      <sz val="12"/>
      <color rgb="FF242424"/>
      <name val="Arial"/>
      <family val="2"/>
    </font>
    <font>
      <sz val="12"/>
      <color rgb="FFC00000"/>
      <name val="Arial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6" fillId="0" borderId="2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right" vertical="center"/>
    </xf>
    <xf numFmtId="0" fontId="6" fillId="0" borderId="8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right" vertical="center"/>
    </xf>
    <xf numFmtId="0" fontId="6" fillId="0" borderId="3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right" vertical="center"/>
    </xf>
    <xf numFmtId="0" fontId="6" fillId="0" borderId="15" xfId="0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15" fontId="5" fillId="0" borderId="8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14" fontId="5" fillId="0" borderId="3" xfId="0" applyNumberFormat="1" applyFont="1" applyFill="1" applyBorder="1" applyAlignment="1">
      <alignment vertical="center"/>
    </xf>
    <xf numFmtId="15" fontId="5" fillId="0" borderId="2" xfId="0" applyNumberFormat="1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14" fontId="6" fillId="0" borderId="5" xfId="0" applyNumberFormat="1" applyFont="1" applyFill="1" applyBorder="1" applyAlignment="1">
      <alignment vertical="center"/>
    </xf>
    <xf numFmtId="15" fontId="6" fillId="0" borderId="2" xfId="0" applyNumberFormat="1" applyFont="1" applyFill="1" applyBorder="1" applyAlignment="1">
      <alignment vertical="center"/>
    </xf>
    <xf numFmtId="14" fontId="5" fillId="0" borderId="2" xfId="0" applyNumberFormat="1" applyFont="1" applyFill="1" applyBorder="1" applyAlignment="1">
      <alignment vertical="center"/>
    </xf>
    <xf numFmtId="14" fontId="6" fillId="0" borderId="2" xfId="0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 shrinkToFit="1"/>
    </xf>
    <xf numFmtId="0" fontId="6" fillId="0" borderId="0" xfId="0" applyFont="1" applyFill="1" applyAlignment="1">
      <alignment vertical="center" shrinkToFit="1"/>
    </xf>
    <xf numFmtId="0" fontId="1" fillId="0" borderId="2" xfId="0" applyFont="1" applyFill="1" applyBorder="1" applyAlignment="1">
      <alignment vertical="center" shrinkToFit="1"/>
    </xf>
    <xf numFmtId="0" fontId="6" fillId="0" borderId="2" xfId="0" applyFont="1" applyFill="1" applyBorder="1" applyAlignment="1">
      <alignment vertical="center" shrinkToFit="1"/>
    </xf>
    <xf numFmtId="0" fontId="2" fillId="0" borderId="2" xfId="0" applyFont="1" applyFill="1" applyBorder="1" applyAlignment="1">
      <alignment vertical="center" shrinkToFit="1"/>
    </xf>
    <xf numFmtId="0" fontId="1" fillId="0" borderId="2" xfId="0" applyFont="1" applyFill="1" applyBorder="1" applyAlignment="1">
      <alignment horizontal="left"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2" xfId="0" applyFont="1" applyFill="1" applyBorder="1" applyAlignment="1">
      <alignment horizontal="left" vertical="center" shrinkToFit="1"/>
    </xf>
    <xf numFmtId="0" fontId="4" fillId="0" borderId="2" xfId="0" applyFont="1" applyFill="1" applyBorder="1" applyAlignment="1">
      <alignment vertical="center" shrinkToFit="1"/>
    </xf>
    <xf numFmtId="0" fontId="8" fillId="0" borderId="2" xfId="0" applyFont="1" applyFill="1" applyBorder="1" applyAlignment="1">
      <alignment vertical="center" shrinkToFit="1"/>
    </xf>
    <xf numFmtId="0" fontId="6" fillId="0" borderId="0" xfId="0" applyFont="1" applyFill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shrinkToFit="1"/>
    </xf>
    <xf numFmtId="0" fontId="1" fillId="0" borderId="7" xfId="0" applyFont="1" applyFill="1" applyBorder="1" applyAlignment="1">
      <alignment vertical="center" shrinkToFit="1"/>
    </xf>
    <xf numFmtId="0" fontId="2" fillId="0" borderId="7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horizontal="left" vertical="center" shrinkToFit="1"/>
    </xf>
    <xf numFmtId="0" fontId="6" fillId="0" borderId="7" xfId="0" applyFont="1" applyFill="1" applyBorder="1" applyAlignment="1">
      <alignment vertical="center" shrinkToFit="1"/>
    </xf>
    <xf numFmtId="0" fontId="6" fillId="0" borderId="14" xfId="0" applyFont="1" applyFill="1" applyBorder="1" applyAlignment="1">
      <alignment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194</xdr:row>
      <xdr:rowOff>0</xdr:rowOff>
    </xdr:from>
    <xdr:to>
      <xdr:col>2</xdr:col>
      <xdr:colOff>9525</xdr:colOff>
      <xdr:row>194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0C502-8C47-41CA-B6CE-B10CF387E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660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9525</xdr:colOff>
      <xdr:row>168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24C57C-E131-4F84-92B3-78FA43A6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78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9525</xdr:colOff>
      <xdr:row>194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37081-4C5F-4B1E-9D3F-B5FD16CDD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27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9525</xdr:colOff>
      <xdr:row>168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08422C-E849-4938-B8BC-096C4307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6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906E8-BFE6-49BD-A723-FE4C04EA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4927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1CF58E-F3F1-4F9D-9E1D-7E2212EC8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426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oogle.com/search?q=33AABCT3125D1ZZ&amp;sca_esv=d6eb6bac57f34326&amp;sxsrf=ANbL-n4dbDB7UQcQT-Rb3bVUAelyG0I9MA%3A1771307793287&amp;source=hp&amp;ei=EQOUadq_D8WSseMPmtaPsAQ&amp;iflsig=AFdpzrgAAAAAaZQRIbH1M1hCp7NGrTUpri3DrB076aa0&amp;oq=tenneco+hosur+&amp;gs_lp=Egdnd3Mtd2l6Ig50ZW5uZWNvIGhvc3VyICoCCAAyBBAjGCcyCxAuGIAEGMcBGK8BMgUQABiABDIFEAAYgAQyBRAAGIAEMgUQABiABDIIEAAYgAQYywEyBhAAGBYYHjIGEAAYFhgeMgYQABgWGB5I_ztQAFiGK3ACeACQAQCYAc8DoAHsGaoBCjAuMTEuNC4wLjG4AQHIAQD4AQGYAhKgApkawgIKECMYgAQYJxiKBcICChAjGPAFGCcYngbCAgsQLhiABBiRAhiKBcICDhAAGIAEGLEDGIMBGIoFwgILEC4YgAQYsQMYgwHCAgsQABiABBixAxiDAcICChAAGIAEGEMYigXCAhEQLhiABBiRAhjRAxjHARiKBcICDhAuGIAEGJECGLEDGIoFwgILEAAYgAQYkQIYigXCAgoQLhiABBhDGIoFwgINEAAYgAQYsQMYQxiKBcICExAuGIAEGLEDGNEDGEMYxwEYigXCAg0QLhiABBixAxhDGIoFwgIIEAAYgAQYsQPCAg0QIxjwBRixAhgnGJ4GwgIHECMYsQIYJ8ICDBAAGIAEGLEDGAoYC8ICCRAAGIAEGAoYC8ICEhAuGIAEGLEDGNEDGMcBGAoYC5gDAJIHCjIuMTAuNS4wLjGgB9_eAbIHCjAuMTAuNS4wLjG4B5YawgcGMC4xNy4xyAcfgAgA&amp;sclient=gws-wiz&amp;ved=2ahUKEwjS3f3i69-SAxX9RWwGHeIiMqcQgK4QegYIAQgAEA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BD0A-33D7-4DCD-AE16-D20CDFAC7DD3}">
  <dimension ref="A1:R232"/>
  <sheetViews>
    <sheetView tabSelected="1" workbookViewId="0">
      <selection activeCell="B6" sqref="B6"/>
    </sheetView>
  </sheetViews>
  <sheetFormatPr defaultRowHeight="20" customHeight="1" x14ac:dyDescent="0.35"/>
  <cols>
    <col min="1" max="1" width="10.453125" style="2" bestFit="1" customWidth="1"/>
    <col min="2" max="2" width="82" style="76" bestFit="1" customWidth="1"/>
    <col min="3" max="3" width="34" style="85" bestFit="1" customWidth="1"/>
    <col min="4" max="4" width="14.453125" style="2" hidden="1" customWidth="1"/>
    <col min="5" max="5" width="14.36328125" style="2" hidden="1" customWidth="1"/>
    <col min="6" max="6" width="11.6328125" style="2" hidden="1" customWidth="1"/>
    <col min="7" max="8" width="12.08984375" style="2" hidden="1" customWidth="1"/>
    <col min="9" max="9" width="14" style="2" hidden="1" customWidth="1"/>
    <col min="10" max="10" width="13.36328125" style="2" hidden="1" customWidth="1"/>
    <col min="11" max="11" width="25.08984375" style="2" hidden="1" customWidth="1"/>
    <col min="12" max="12" width="19.90625" style="2" hidden="1" customWidth="1"/>
    <col min="13" max="13" width="15.36328125" style="2" hidden="1" customWidth="1"/>
    <col min="14" max="15" width="20.6328125" style="2" hidden="1" customWidth="1"/>
    <col min="16" max="16" width="15.36328125" style="2" hidden="1" customWidth="1"/>
    <col min="17" max="16384" width="8.7265625" style="2"/>
  </cols>
  <sheetData>
    <row r="1" spans="1:13" ht="20" customHeight="1" thickBot="1" x14ac:dyDescent="0.4">
      <c r="A1" s="13" t="s">
        <v>373</v>
      </c>
      <c r="B1" s="75" t="s">
        <v>370</v>
      </c>
      <c r="C1" s="86" t="s">
        <v>374</v>
      </c>
      <c r="D1" s="4" t="s">
        <v>0</v>
      </c>
      <c r="E1" s="5" t="s">
        <v>1</v>
      </c>
      <c r="F1" s="4" t="s">
        <v>2</v>
      </c>
      <c r="G1" s="5" t="s">
        <v>3</v>
      </c>
      <c r="H1" s="3" t="s">
        <v>13</v>
      </c>
      <c r="I1" s="5" t="s">
        <v>4</v>
      </c>
      <c r="J1" s="3" t="s">
        <v>5</v>
      </c>
      <c r="K1" s="5" t="s">
        <v>6</v>
      </c>
      <c r="L1" s="3" t="s">
        <v>7</v>
      </c>
      <c r="M1" s="5"/>
    </row>
    <row r="2" spans="1:13" ht="20" customHeight="1" x14ac:dyDescent="0.35">
      <c r="A2" s="13">
        <v>1</v>
      </c>
      <c r="B2" s="77" t="s">
        <v>80</v>
      </c>
      <c r="C2" s="87" t="s">
        <v>38</v>
      </c>
      <c r="D2" s="8">
        <v>3000</v>
      </c>
      <c r="E2" s="6">
        <v>3000</v>
      </c>
      <c r="F2" s="9">
        <v>540</v>
      </c>
      <c r="G2" s="9">
        <v>3540</v>
      </c>
      <c r="H2" s="9"/>
      <c r="I2" s="8"/>
      <c r="J2" s="6"/>
      <c r="K2" s="47" t="s">
        <v>29</v>
      </c>
      <c r="L2" s="29" t="s">
        <v>30</v>
      </c>
      <c r="M2" s="32"/>
    </row>
    <row r="3" spans="1:13" ht="20" customHeight="1" thickBot="1" x14ac:dyDescent="0.4">
      <c r="A3" s="13">
        <v>1</v>
      </c>
      <c r="B3" s="77" t="s">
        <v>80</v>
      </c>
      <c r="C3" s="87" t="s">
        <v>37</v>
      </c>
      <c r="D3" s="10"/>
      <c r="E3" s="14"/>
      <c r="F3" s="30"/>
      <c r="G3" s="30"/>
      <c r="H3" s="30"/>
      <c r="I3" s="10"/>
      <c r="J3" s="14"/>
      <c r="K3" s="48"/>
      <c r="L3" s="31"/>
      <c r="M3" s="34"/>
    </row>
    <row r="4" spans="1:13" ht="20" customHeight="1" x14ac:dyDescent="0.35">
      <c r="A4" s="13">
        <v>2</v>
      </c>
      <c r="B4" s="77" t="s">
        <v>80</v>
      </c>
      <c r="C4" s="87" t="s">
        <v>69</v>
      </c>
      <c r="D4" s="8"/>
      <c r="E4" s="6"/>
      <c r="F4" s="9"/>
      <c r="G4" s="9"/>
      <c r="H4" s="9"/>
      <c r="I4" s="8"/>
      <c r="J4" s="6"/>
      <c r="K4" s="9" t="s">
        <v>29</v>
      </c>
      <c r="L4" s="29" t="s">
        <v>71</v>
      </c>
      <c r="M4" s="32"/>
    </row>
    <row r="5" spans="1:13" ht="20" customHeight="1" thickBot="1" x14ac:dyDescent="0.4">
      <c r="A5" s="13">
        <v>2</v>
      </c>
      <c r="B5" s="77" t="s">
        <v>80</v>
      </c>
      <c r="C5" s="87" t="s">
        <v>68</v>
      </c>
      <c r="D5" s="10"/>
      <c r="E5" s="14"/>
      <c r="F5" s="30"/>
      <c r="G5" s="30"/>
      <c r="H5" s="30"/>
      <c r="I5" s="10"/>
      <c r="J5" s="14"/>
      <c r="K5" s="48"/>
      <c r="L5" s="31"/>
      <c r="M5" s="34"/>
    </row>
    <row r="6" spans="1:13" ht="20" customHeight="1" x14ac:dyDescent="0.35">
      <c r="A6" s="13">
        <v>3</v>
      </c>
      <c r="B6" s="78" t="s">
        <v>344</v>
      </c>
      <c r="C6" s="87" t="s">
        <v>271</v>
      </c>
      <c r="D6" s="11"/>
      <c r="E6" s="15"/>
      <c r="F6" s="35"/>
      <c r="G6" s="35"/>
      <c r="H6" s="35"/>
      <c r="I6" s="11"/>
      <c r="J6" s="15"/>
      <c r="K6" s="35" t="s">
        <v>64</v>
      </c>
      <c r="L6" s="36" t="s">
        <v>276</v>
      </c>
      <c r="M6" s="35"/>
    </row>
    <row r="7" spans="1:13" ht="20" customHeight="1" x14ac:dyDescent="0.35">
      <c r="A7" s="13">
        <v>3</v>
      </c>
      <c r="B7" s="78" t="s">
        <v>344</v>
      </c>
      <c r="C7" s="87" t="s">
        <v>272</v>
      </c>
      <c r="D7" s="12"/>
      <c r="E7" s="13"/>
      <c r="F7" s="1"/>
      <c r="G7" s="1"/>
      <c r="H7" s="1"/>
      <c r="I7" s="12"/>
      <c r="J7" s="13"/>
      <c r="K7" s="1"/>
      <c r="L7" s="39"/>
      <c r="M7" s="1"/>
    </row>
    <row r="8" spans="1:13" ht="20" customHeight="1" x14ac:dyDescent="0.35">
      <c r="A8" s="13">
        <v>3</v>
      </c>
      <c r="B8" s="78" t="s">
        <v>344</v>
      </c>
      <c r="C8" s="87" t="s">
        <v>362</v>
      </c>
      <c r="D8" s="12"/>
      <c r="E8" s="13"/>
      <c r="F8" s="1"/>
      <c r="G8" s="1"/>
      <c r="H8" s="1"/>
      <c r="I8" s="12"/>
      <c r="J8" s="13"/>
      <c r="K8" s="1"/>
      <c r="L8" s="39"/>
      <c r="M8" s="1"/>
    </row>
    <row r="9" spans="1:13" ht="20" customHeight="1" thickBot="1" x14ac:dyDescent="0.4">
      <c r="A9" s="13">
        <v>4</v>
      </c>
      <c r="B9" s="78" t="s">
        <v>171</v>
      </c>
      <c r="C9" s="87" t="s">
        <v>212</v>
      </c>
      <c r="D9" s="10"/>
      <c r="E9" s="14"/>
      <c r="F9" s="30"/>
      <c r="G9" s="30"/>
      <c r="H9" s="30"/>
      <c r="I9" s="10"/>
      <c r="J9" s="14"/>
      <c r="K9" s="30" t="s">
        <v>64</v>
      </c>
      <c r="L9" s="31" t="s">
        <v>273</v>
      </c>
      <c r="M9" s="30"/>
    </row>
    <row r="10" spans="1:13" ht="20" customHeight="1" x14ac:dyDescent="0.35">
      <c r="A10" s="13">
        <v>4</v>
      </c>
      <c r="B10" s="78" t="s">
        <v>171</v>
      </c>
      <c r="C10" s="87" t="s">
        <v>213</v>
      </c>
      <c r="D10" s="11"/>
      <c r="E10" s="15"/>
      <c r="F10" s="35"/>
      <c r="G10" s="35"/>
      <c r="H10" s="35"/>
      <c r="I10" s="11"/>
      <c r="J10" s="15"/>
      <c r="K10" s="35"/>
      <c r="L10" s="36"/>
      <c r="M10" s="35"/>
    </row>
    <row r="11" spans="1:13" ht="20" customHeight="1" x14ac:dyDescent="0.35">
      <c r="A11" s="13">
        <v>5</v>
      </c>
      <c r="B11" s="78" t="s">
        <v>171</v>
      </c>
      <c r="C11" s="87" t="s">
        <v>214</v>
      </c>
      <c r="D11" s="12"/>
      <c r="E11" s="13"/>
      <c r="F11" s="1"/>
      <c r="G11" s="1"/>
      <c r="H11" s="1"/>
      <c r="I11" s="12"/>
      <c r="J11" s="13"/>
      <c r="K11" s="1"/>
      <c r="L11" s="39"/>
      <c r="M11" s="1"/>
    </row>
    <row r="12" spans="1:13" ht="20" customHeight="1" x14ac:dyDescent="0.35">
      <c r="A12" s="13">
        <v>5</v>
      </c>
      <c r="B12" s="78" t="s">
        <v>171</v>
      </c>
      <c r="C12" s="87" t="s">
        <v>212</v>
      </c>
      <c r="D12" s="12"/>
      <c r="E12" s="13"/>
      <c r="F12" s="1"/>
      <c r="G12" s="1"/>
      <c r="H12" s="1"/>
      <c r="I12" s="12"/>
      <c r="J12" s="13"/>
      <c r="K12" s="1"/>
      <c r="L12" s="39"/>
      <c r="M12" s="1"/>
    </row>
    <row r="13" spans="1:13" ht="20" customHeight="1" thickBot="1" x14ac:dyDescent="0.4">
      <c r="A13" s="13">
        <v>6</v>
      </c>
      <c r="B13" s="78" t="s">
        <v>171</v>
      </c>
      <c r="C13" s="87" t="s">
        <v>215</v>
      </c>
      <c r="D13" s="10"/>
      <c r="E13" s="14"/>
      <c r="F13" s="30"/>
      <c r="G13" s="30"/>
      <c r="H13" s="5"/>
      <c r="I13" s="16"/>
      <c r="J13" s="3"/>
      <c r="K13" s="5"/>
      <c r="L13" s="45"/>
      <c r="M13" s="5"/>
    </row>
    <row r="14" spans="1:13" ht="20" customHeight="1" x14ac:dyDescent="0.35">
      <c r="A14" s="13">
        <v>6</v>
      </c>
      <c r="B14" s="78" t="s">
        <v>171</v>
      </c>
      <c r="C14" s="87" t="s">
        <v>216</v>
      </c>
      <c r="D14" s="11"/>
      <c r="E14" s="15"/>
      <c r="F14" s="35"/>
      <c r="G14" s="35"/>
      <c r="H14" s="9"/>
      <c r="I14" s="8"/>
      <c r="J14" s="6"/>
      <c r="K14" s="9"/>
      <c r="L14" s="29"/>
      <c r="M14" s="9"/>
    </row>
    <row r="15" spans="1:13" ht="20" customHeight="1" x14ac:dyDescent="0.35">
      <c r="A15" s="13">
        <v>7</v>
      </c>
      <c r="B15" s="78" t="s">
        <v>171</v>
      </c>
      <c r="C15" s="87" t="s">
        <v>217</v>
      </c>
      <c r="D15" s="12"/>
      <c r="E15" s="13"/>
      <c r="F15" s="1"/>
      <c r="G15" s="1"/>
      <c r="H15" s="1"/>
      <c r="I15" s="12"/>
      <c r="J15" s="13"/>
      <c r="K15" s="1"/>
      <c r="L15" s="39"/>
      <c r="M15" s="1"/>
    </row>
    <row r="16" spans="1:13" ht="20" customHeight="1" x14ac:dyDescent="0.35">
      <c r="A16" s="13">
        <v>7</v>
      </c>
      <c r="B16" s="78" t="s">
        <v>171</v>
      </c>
      <c r="C16" s="87" t="s">
        <v>218</v>
      </c>
      <c r="D16" s="12"/>
      <c r="E16" s="13"/>
      <c r="F16" s="1"/>
      <c r="G16" s="1"/>
      <c r="H16" s="1"/>
      <c r="I16" s="12"/>
      <c r="J16" s="13"/>
      <c r="K16" s="1"/>
      <c r="L16" s="39"/>
      <c r="M16" s="1"/>
    </row>
    <row r="17" spans="1:13" ht="20" customHeight="1" thickBot="1" x14ac:dyDescent="0.4">
      <c r="A17" s="13">
        <v>8</v>
      </c>
      <c r="B17" s="78" t="s">
        <v>171</v>
      </c>
      <c r="C17" s="87" t="s">
        <v>215</v>
      </c>
      <c r="D17" s="10"/>
      <c r="E17" s="14"/>
      <c r="F17" s="30"/>
      <c r="G17" s="30"/>
      <c r="H17" s="30"/>
      <c r="I17" s="10"/>
      <c r="J17" s="14"/>
      <c r="K17" s="30"/>
      <c r="L17" s="31"/>
      <c r="M17" s="30"/>
    </row>
    <row r="18" spans="1:13" ht="20" customHeight="1" x14ac:dyDescent="0.35">
      <c r="A18" s="13">
        <v>8</v>
      </c>
      <c r="B18" s="78" t="s">
        <v>171</v>
      </c>
      <c r="C18" s="87" t="s">
        <v>216</v>
      </c>
      <c r="D18" s="11"/>
      <c r="E18" s="15"/>
      <c r="F18" s="35"/>
      <c r="G18" s="35"/>
      <c r="H18" s="35"/>
      <c r="I18" s="11"/>
      <c r="J18" s="15"/>
      <c r="K18" s="35"/>
      <c r="L18" s="36"/>
      <c r="M18" s="35"/>
    </row>
    <row r="19" spans="1:13" ht="20" customHeight="1" x14ac:dyDescent="0.35">
      <c r="A19" s="13">
        <v>9</v>
      </c>
      <c r="B19" s="78" t="s">
        <v>180</v>
      </c>
      <c r="C19" s="87" t="s">
        <v>220</v>
      </c>
      <c r="D19" s="12"/>
      <c r="E19" s="13"/>
      <c r="F19" s="1"/>
      <c r="G19" s="1"/>
      <c r="H19" s="1"/>
      <c r="I19" s="12"/>
      <c r="J19" s="13"/>
      <c r="K19" s="1" t="s">
        <v>64</v>
      </c>
      <c r="L19" s="39" t="s">
        <v>274</v>
      </c>
      <c r="M19" s="1"/>
    </row>
    <row r="20" spans="1:13" ht="20" customHeight="1" x14ac:dyDescent="0.35">
      <c r="A20" s="13">
        <v>9</v>
      </c>
      <c r="B20" s="78" t="s">
        <v>180</v>
      </c>
      <c r="C20" s="87" t="s">
        <v>219</v>
      </c>
      <c r="D20" s="12"/>
      <c r="E20" s="13"/>
      <c r="F20" s="1"/>
      <c r="G20" s="1"/>
      <c r="H20" s="1"/>
      <c r="I20" s="12"/>
      <c r="J20" s="13"/>
      <c r="K20" s="1"/>
      <c r="L20" s="39"/>
      <c r="M20" s="1"/>
    </row>
    <row r="21" spans="1:13" ht="20" customHeight="1" thickBot="1" x14ac:dyDescent="0.4">
      <c r="A21" s="13">
        <v>10</v>
      </c>
      <c r="B21" s="78" t="s">
        <v>180</v>
      </c>
      <c r="C21" s="87" t="s">
        <v>221</v>
      </c>
      <c r="D21" s="16"/>
      <c r="E21" s="3"/>
      <c r="F21" s="5"/>
      <c r="G21" s="5"/>
      <c r="H21" s="5"/>
      <c r="I21" s="16"/>
      <c r="J21" s="3"/>
      <c r="K21" s="5"/>
      <c r="L21" s="45"/>
      <c r="M21" s="5"/>
    </row>
    <row r="22" spans="1:13" ht="20" customHeight="1" x14ac:dyDescent="0.35">
      <c r="A22" s="13">
        <v>10</v>
      </c>
      <c r="B22" s="78" t="s">
        <v>180</v>
      </c>
      <c r="C22" s="87" t="s">
        <v>291</v>
      </c>
      <c r="D22" s="8"/>
      <c r="E22" s="6"/>
      <c r="F22" s="9"/>
      <c r="G22" s="9"/>
      <c r="H22" s="9"/>
      <c r="I22" s="8"/>
      <c r="J22" s="6"/>
      <c r="K22" s="9"/>
      <c r="L22" s="29"/>
      <c r="M22" s="9"/>
    </row>
    <row r="23" spans="1:13" ht="20" customHeight="1" thickBot="1" x14ac:dyDescent="0.4">
      <c r="A23" s="13">
        <v>11</v>
      </c>
      <c r="B23" s="78" t="s">
        <v>172</v>
      </c>
      <c r="C23" s="87" t="s">
        <v>222</v>
      </c>
      <c r="D23" s="10"/>
      <c r="E23" s="14"/>
      <c r="F23" s="30"/>
      <c r="G23" s="30"/>
      <c r="H23" s="30"/>
      <c r="I23" s="10"/>
      <c r="J23" s="14"/>
      <c r="K23" s="30" t="s">
        <v>64</v>
      </c>
      <c r="L23" s="31" t="s">
        <v>275</v>
      </c>
      <c r="M23" s="30"/>
    </row>
    <row r="24" spans="1:13" ht="20" customHeight="1" x14ac:dyDescent="0.35">
      <c r="A24" s="13">
        <v>11</v>
      </c>
      <c r="B24" s="78" t="s">
        <v>172</v>
      </c>
      <c r="C24" s="87" t="s">
        <v>292</v>
      </c>
      <c r="D24" s="11"/>
      <c r="E24" s="15"/>
      <c r="F24" s="35"/>
      <c r="G24" s="35"/>
      <c r="H24" s="35"/>
      <c r="I24" s="11"/>
      <c r="J24" s="15"/>
      <c r="K24" s="35"/>
      <c r="L24" s="36"/>
      <c r="M24" s="35"/>
    </row>
    <row r="25" spans="1:13" ht="20" customHeight="1" x14ac:dyDescent="0.35">
      <c r="A25" s="13">
        <v>12</v>
      </c>
      <c r="B25" s="78" t="s">
        <v>172</v>
      </c>
      <c r="C25" s="87" t="s">
        <v>279</v>
      </c>
      <c r="D25" s="12"/>
      <c r="E25" s="13"/>
      <c r="F25" s="1"/>
      <c r="G25" s="1"/>
      <c r="H25" s="5"/>
      <c r="I25" s="16"/>
      <c r="J25" s="3"/>
      <c r="K25" s="1"/>
      <c r="L25" s="39"/>
      <c r="M25" s="1"/>
    </row>
    <row r="26" spans="1:13" ht="20" customHeight="1" x14ac:dyDescent="0.35">
      <c r="A26" s="13">
        <v>12</v>
      </c>
      <c r="B26" s="78" t="s">
        <v>172</v>
      </c>
      <c r="C26" s="87" t="s">
        <v>280</v>
      </c>
      <c r="D26" s="12"/>
      <c r="E26" s="13"/>
      <c r="F26" s="1"/>
      <c r="G26" s="1"/>
      <c r="H26" s="5"/>
      <c r="I26" s="16"/>
      <c r="J26" s="3"/>
      <c r="K26" s="1"/>
      <c r="L26" s="39"/>
      <c r="M26" s="1"/>
    </row>
    <row r="27" spans="1:13" ht="20" customHeight="1" x14ac:dyDescent="0.35">
      <c r="A27" s="13">
        <v>13</v>
      </c>
      <c r="B27" s="78" t="s">
        <v>172</v>
      </c>
      <c r="C27" s="87" t="s">
        <v>281</v>
      </c>
      <c r="D27" s="12"/>
      <c r="E27" s="13"/>
      <c r="F27" s="1"/>
      <c r="G27" s="1"/>
      <c r="H27" s="5"/>
      <c r="I27" s="16"/>
      <c r="J27" s="3"/>
      <c r="K27" s="1"/>
      <c r="L27" s="39"/>
      <c r="M27" s="1"/>
    </row>
    <row r="28" spans="1:13" ht="20" customHeight="1" x14ac:dyDescent="0.35">
      <c r="A28" s="13">
        <v>13</v>
      </c>
      <c r="B28" s="78" t="s">
        <v>172</v>
      </c>
      <c r="C28" s="87" t="s">
        <v>293</v>
      </c>
      <c r="D28" s="12"/>
      <c r="E28" s="13"/>
      <c r="F28" s="1"/>
      <c r="G28" s="1"/>
      <c r="H28" s="5"/>
      <c r="I28" s="16"/>
      <c r="J28" s="3"/>
      <c r="K28" s="1"/>
      <c r="L28" s="39"/>
      <c r="M28" s="1"/>
    </row>
    <row r="29" spans="1:13" ht="20" customHeight="1" thickBot="1" x14ac:dyDescent="0.4">
      <c r="A29" s="13">
        <v>14</v>
      </c>
      <c r="B29" s="79" t="s">
        <v>57</v>
      </c>
      <c r="C29" s="87" t="s">
        <v>284</v>
      </c>
      <c r="D29" s="16"/>
      <c r="E29" s="3"/>
      <c r="F29" s="5"/>
      <c r="G29" s="5"/>
      <c r="H29" s="5"/>
      <c r="I29" s="16"/>
      <c r="J29" s="3"/>
      <c r="K29" s="28" t="s">
        <v>64</v>
      </c>
      <c r="L29" s="45" t="s">
        <v>65</v>
      </c>
      <c r="M29" s="46"/>
    </row>
    <row r="30" spans="1:13" ht="20" customHeight="1" x14ac:dyDescent="0.35">
      <c r="A30" s="13">
        <v>14</v>
      </c>
      <c r="B30" s="79" t="s">
        <v>57</v>
      </c>
      <c r="C30" s="87" t="s">
        <v>285</v>
      </c>
      <c r="D30" s="8"/>
      <c r="E30" s="6"/>
      <c r="F30" s="9"/>
      <c r="G30" s="9"/>
      <c r="H30" s="51"/>
      <c r="I30" s="22"/>
      <c r="J30" s="17"/>
      <c r="K30" s="52"/>
      <c r="L30" s="29"/>
      <c r="M30" s="32"/>
    </row>
    <row r="31" spans="1:13" ht="20" customHeight="1" x14ac:dyDescent="0.35">
      <c r="A31" s="13">
        <v>15</v>
      </c>
      <c r="B31" s="79" t="s">
        <v>57</v>
      </c>
      <c r="C31" s="87" t="s">
        <v>93</v>
      </c>
      <c r="D31" s="18"/>
      <c r="E31" s="19"/>
      <c r="F31" s="53"/>
      <c r="G31" s="53"/>
      <c r="H31" s="1"/>
      <c r="I31" s="12"/>
      <c r="J31" s="13"/>
      <c r="K31" s="54"/>
      <c r="L31" s="55"/>
      <c r="M31" s="56"/>
    </row>
    <row r="32" spans="1:13" ht="20" customHeight="1" thickBot="1" x14ac:dyDescent="0.4">
      <c r="A32" s="13">
        <v>15</v>
      </c>
      <c r="B32" s="79" t="s">
        <v>57</v>
      </c>
      <c r="C32" s="87" t="s">
        <v>92</v>
      </c>
      <c r="D32" s="10"/>
      <c r="E32" s="14"/>
      <c r="F32" s="30"/>
      <c r="G32" s="30"/>
      <c r="H32" s="30"/>
      <c r="I32" s="10"/>
      <c r="J32" s="14"/>
      <c r="K32" s="48"/>
      <c r="L32" s="31"/>
      <c r="M32" s="34"/>
    </row>
    <row r="33" spans="1:14" ht="20" customHeight="1" x14ac:dyDescent="0.35">
      <c r="A33" s="13">
        <v>16</v>
      </c>
      <c r="B33" s="80" t="s">
        <v>195</v>
      </c>
      <c r="C33" s="88" t="s">
        <v>196</v>
      </c>
      <c r="D33" s="11">
        <v>3000</v>
      </c>
      <c r="E33" s="15">
        <f>3000*2</f>
        <v>6000</v>
      </c>
      <c r="F33" s="35">
        <f>E33*18%</f>
        <v>1080</v>
      </c>
      <c r="G33" s="35">
        <f>E33+F33</f>
        <v>7080</v>
      </c>
      <c r="H33" s="53"/>
      <c r="I33" s="18"/>
      <c r="J33" s="19"/>
      <c r="K33" s="35" t="s">
        <v>64</v>
      </c>
      <c r="L33" s="36" t="s">
        <v>211</v>
      </c>
      <c r="M33" s="35"/>
      <c r="N33" s="66"/>
    </row>
    <row r="34" spans="1:14" ht="20" customHeight="1" x14ac:dyDescent="0.35">
      <c r="A34" s="13">
        <v>16</v>
      </c>
      <c r="B34" s="80" t="s">
        <v>195</v>
      </c>
      <c r="C34" s="88" t="s">
        <v>197</v>
      </c>
      <c r="D34" s="12"/>
      <c r="E34" s="13"/>
      <c r="F34" s="1"/>
      <c r="G34" s="1"/>
      <c r="H34" s="5"/>
      <c r="I34" s="16"/>
      <c r="J34" s="3"/>
      <c r="K34" s="1"/>
      <c r="L34" s="39"/>
      <c r="M34" s="1"/>
      <c r="N34" s="66"/>
    </row>
    <row r="35" spans="1:14" ht="20" customHeight="1" x14ac:dyDescent="0.35">
      <c r="A35" s="13">
        <v>17</v>
      </c>
      <c r="B35" s="80" t="s">
        <v>195</v>
      </c>
      <c r="C35" s="88" t="s">
        <v>198</v>
      </c>
      <c r="D35" s="12"/>
      <c r="E35" s="13"/>
      <c r="F35" s="1"/>
      <c r="G35" s="1"/>
      <c r="H35" s="5"/>
      <c r="I35" s="16"/>
      <c r="J35" s="3"/>
      <c r="K35" s="1"/>
      <c r="L35" s="39"/>
      <c r="M35" s="1"/>
      <c r="N35" s="66"/>
    </row>
    <row r="36" spans="1:14" ht="20" customHeight="1" x14ac:dyDescent="0.35">
      <c r="A36" s="13">
        <v>17</v>
      </c>
      <c r="B36" s="80" t="s">
        <v>195</v>
      </c>
      <c r="C36" s="88" t="s">
        <v>290</v>
      </c>
      <c r="D36" s="12"/>
      <c r="E36" s="13"/>
      <c r="F36" s="1"/>
      <c r="G36" s="1"/>
      <c r="H36" s="5"/>
      <c r="I36" s="16"/>
      <c r="J36" s="3"/>
      <c r="K36" s="1"/>
      <c r="L36" s="39"/>
      <c r="M36" s="1"/>
      <c r="N36" s="66"/>
    </row>
    <row r="37" spans="1:14" ht="20" customHeight="1" x14ac:dyDescent="0.35">
      <c r="A37" s="13">
        <v>18</v>
      </c>
      <c r="B37" s="79" t="s">
        <v>101</v>
      </c>
      <c r="C37" s="88" t="s">
        <v>102</v>
      </c>
      <c r="D37" s="12">
        <v>3000</v>
      </c>
      <c r="E37" s="13">
        <f>3000*2</f>
        <v>6000</v>
      </c>
      <c r="F37" s="1">
        <f>E37*18%</f>
        <v>1080</v>
      </c>
      <c r="G37" s="1">
        <f>E37+F37</f>
        <v>7080</v>
      </c>
      <c r="H37" s="5"/>
      <c r="I37" s="16"/>
      <c r="J37" s="3"/>
      <c r="K37" s="50" t="s">
        <v>106</v>
      </c>
      <c r="L37" s="39" t="s">
        <v>108</v>
      </c>
      <c r="M37" s="40"/>
    </row>
    <row r="38" spans="1:14" ht="20" customHeight="1" x14ac:dyDescent="0.35">
      <c r="A38" s="13">
        <v>18</v>
      </c>
      <c r="B38" s="79" t="s">
        <v>101</v>
      </c>
      <c r="C38" s="88" t="s">
        <v>103</v>
      </c>
      <c r="D38" s="12"/>
      <c r="E38" s="13"/>
      <c r="F38" s="1"/>
      <c r="G38" s="1"/>
      <c r="H38" s="5"/>
      <c r="I38" s="16"/>
      <c r="J38" s="3"/>
      <c r="K38" s="50"/>
      <c r="L38" s="39"/>
      <c r="M38" s="40"/>
    </row>
    <row r="39" spans="1:14" ht="20" customHeight="1" x14ac:dyDescent="0.35">
      <c r="A39" s="13">
        <v>19</v>
      </c>
      <c r="B39" s="79" t="s">
        <v>101</v>
      </c>
      <c r="C39" s="88" t="s">
        <v>105</v>
      </c>
      <c r="D39" s="12"/>
      <c r="E39" s="13"/>
      <c r="F39" s="1"/>
      <c r="G39" s="1"/>
      <c r="H39" s="5"/>
      <c r="I39" s="16"/>
      <c r="J39" s="3"/>
      <c r="K39" s="50"/>
      <c r="L39" s="39"/>
      <c r="M39" s="40"/>
    </row>
    <row r="40" spans="1:14" ht="20" customHeight="1" x14ac:dyDescent="0.35">
      <c r="A40" s="13">
        <v>19</v>
      </c>
      <c r="B40" s="79" t="s">
        <v>101</v>
      </c>
      <c r="C40" s="88" t="s">
        <v>104</v>
      </c>
      <c r="D40" s="16"/>
      <c r="E40" s="3"/>
      <c r="F40" s="5"/>
      <c r="G40" s="5"/>
      <c r="H40" s="5"/>
      <c r="I40" s="16"/>
      <c r="J40" s="3"/>
      <c r="K40" s="28"/>
      <c r="L40" s="45"/>
      <c r="M40" s="46"/>
    </row>
    <row r="41" spans="1:14" ht="20" customHeight="1" x14ac:dyDescent="0.35">
      <c r="A41" s="13">
        <v>20</v>
      </c>
      <c r="B41" s="79" t="s">
        <v>101</v>
      </c>
      <c r="C41" s="88" t="s">
        <v>109</v>
      </c>
      <c r="D41" s="11"/>
      <c r="E41" s="15"/>
      <c r="F41" s="35"/>
      <c r="G41" s="35"/>
      <c r="H41" s="53"/>
      <c r="I41" s="18"/>
      <c r="J41" s="19"/>
      <c r="K41" s="49"/>
      <c r="L41" s="36"/>
      <c r="M41" s="37"/>
    </row>
    <row r="42" spans="1:14" ht="20" customHeight="1" x14ac:dyDescent="0.35">
      <c r="A42" s="13">
        <v>20</v>
      </c>
      <c r="B42" s="79" t="s">
        <v>101</v>
      </c>
      <c r="C42" s="88" t="s">
        <v>110</v>
      </c>
      <c r="D42" s="12"/>
      <c r="E42" s="13"/>
      <c r="F42" s="1"/>
      <c r="G42" s="1"/>
      <c r="H42" s="5"/>
      <c r="I42" s="16"/>
      <c r="J42" s="3"/>
      <c r="K42" s="50"/>
      <c r="L42" s="39"/>
      <c r="M42" s="40"/>
    </row>
    <row r="43" spans="1:14" ht="20" customHeight="1" x14ac:dyDescent="0.35">
      <c r="A43" s="13">
        <v>21</v>
      </c>
      <c r="B43" s="79" t="s">
        <v>101</v>
      </c>
      <c r="C43" s="88" t="s">
        <v>179</v>
      </c>
      <c r="D43" s="12"/>
      <c r="E43" s="13"/>
      <c r="F43" s="1"/>
      <c r="G43" s="1"/>
      <c r="H43" s="5"/>
      <c r="I43" s="16"/>
      <c r="J43" s="3"/>
      <c r="K43" s="50"/>
      <c r="L43" s="39"/>
      <c r="M43" s="40"/>
    </row>
    <row r="44" spans="1:14" ht="20" customHeight="1" thickBot="1" x14ac:dyDescent="0.4">
      <c r="A44" s="13">
        <v>21</v>
      </c>
      <c r="B44" s="79" t="s">
        <v>101</v>
      </c>
      <c r="C44" s="88" t="s">
        <v>111</v>
      </c>
      <c r="D44" s="16"/>
      <c r="E44" s="3"/>
      <c r="F44" s="5"/>
      <c r="G44" s="5"/>
      <c r="H44" s="5"/>
      <c r="I44" s="16"/>
      <c r="J44" s="3"/>
      <c r="K44" s="28"/>
      <c r="L44" s="45"/>
      <c r="M44" s="46"/>
    </row>
    <row r="45" spans="1:14" ht="20" customHeight="1" x14ac:dyDescent="0.35">
      <c r="A45" s="13">
        <v>22</v>
      </c>
      <c r="B45" s="77" t="s">
        <v>86</v>
      </c>
      <c r="C45" s="87" t="s">
        <v>132</v>
      </c>
      <c r="D45" s="8"/>
      <c r="E45" s="6"/>
      <c r="F45" s="9"/>
      <c r="G45" s="9"/>
      <c r="H45" s="51"/>
      <c r="I45" s="22"/>
      <c r="J45" s="17"/>
      <c r="K45" s="52" t="s">
        <v>66</v>
      </c>
      <c r="L45" s="36" t="s">
        <v>72</v>
      </c>
      <c r="M45" s="32"/>
    </row>
    <row r="46" spans="1:14" ht="20" customHeight="1" x14ac:dyDescent="0.35">
      <c r="A46" s="13">
        <v>22</v>
      </c>
      <c r="B46" s="77" t="s">
        <v>86</v>
      </c>
      <c r="C46" s="87" t="s">
        <v>133</v>
      </c>
      <c r="D46" s="12"/>
      <c r="E46" s="13"/>
      <c r="F46" s="1"/>
      <c r="G46" s="1"/>
      <c r="H46" s="5"/>
      <c r="I46" s="16"/>
      <c r="J46" s="3"/>
      <c r="K46" s="50"/>
      <c r="L46" s="39"/>
      <c r="M46" s="40"/>
    </row>
    <row r="47" spans="1:14" ht="20" customHeight="1" x14ac:dyDescent="0.35">
      <c r="A47" s="13">
        <v>23</v>
      </c>
      <c r="B47" s="77" t="s">
        <v>86</v>
      </c>
      <c r="C47" s="87" t="s">
        <v>289</v>
      </c>
      <c r="D47" s="12"/>
      <c r="E47" s="13"/>
      <c r="F47" s="1"/>
      <c r="G47" s="1"/>
      <c r="H47" s="5"/>
      <c r="I47" s="16"/>
      <c r="J47" s="3"/>
      <c r="K47" s="50"/>
      <c r="L47" s="39"/>
      <c r="M47" s="40"/>
    </row>
    <row r="48" spans="1:14" ht="20" customHeight="1" x14ac:dyDescent="0.35">
      <c r="A48" s="13">
        <v>23</v>
      </c>
      <c r="B48" s="77" t="s">
        <v>86</v>
      </c>
      <c r="C48" s="87" t="s">
        <v>134</v>
      </c>
      <c r="D48" s="12"/>
      <c r="E48" s="13"/>
      <c r="F48" s="1"/>
      <c r="G48" s="1"/>
      <c r="H48" s="5"/>
      <c r="I48" s="16"/>
      <c r="J48" s="3"/>
      <c r="K48" s="50"/>
      <c r="L48" s="39"/>
      <c r="M48" s="40"/>
    </row>
    <row r="49" spans="1:13" ht="20" customHeight="1" x14ac:dyDescent="0.35">
      <c r="A49" s="13">
        <v>24</v>
      </c>
      <c r="B49" s="77" t="s">
        <v>351</v>
      </c>
      <c r="C49" s="89" t="s">
        <v>243</v>
      </c>
      <c r="D49" s="12">
        <v>3000</v>
      </c>
      <c r="E49" s="13">
        <f>D49*4</f>
        <v>12000</v>
      </c>
      <c r="F49" s="1">
        <f>E49*18%</f>
        <v>2160</v>
      </c>
      <c r="G49" s="1">
        <v>14160</v>
      </c>
      <c r="H49" s="5"/>
      <c r="I49" s="16"/>
      <c r="J49" s="3"/>
      <c r="K49" s="50" t="s">
        <v>35</v>
      </c>
      <c r="L49" s="39" t="s">
        <v>36</v>
      </c>
      <c r="M49" s="40"/>
    </row>
    <row r="50" spans="1:13" ht="20" customHeight="1" x14ac:dyDescent="0.35">
      <c r="A50" s="13">
        <v>24</v>
      </c>
      <c r="B50" s="77" t="s">
        <v>351</v>
      </c>
      <c r="C50" s="89" t="s">
        <v>242</v>
      </c>
      <c r="D50" s="12"/>
      <c r="E50" s="13"/>
      <c r="F50" s="1"/>
      <c r="G50" s="1"/>
      <c r="H50" s="5"/>
      <c r="I50" s="16"/>
      <c r="J50" s="3"/>
      <c r="K50" s="50"/>
      <c r="L50" s="39"/>
      <c r="M50" s="40"/>
    </row>
    <row r="51" spans="1:13" ht="20" customHeight="1" x14ac:dyDescent="0.35">
      <c r="A51" s="13">
        <v>25</v>
      </c>
      <c r="B51" s="77" t="s">
        <v>351</v>
      </c>
      <c r="C51" s="89" t="s">
        <v>244</v>
      </c>
      <c r="D51" s="12"/>
      <c r="E51" s="13"/>
      <c r="F51" s="1"/>
      <c r="G51" s="1"/>
      <c r="H51" s="5"/>
      <c r="I51" s="16"/>
      <c r="J51" s="3"/>
      <c r="K51" s="50"/>
      <c r="L51" s="39"/>
      <c r="M51" s="40"/>
    </row>
    <row r="52" spans="1:13" ht="20" customHeight="1" thickBot="1" x14ac:dyDescent="0.4">
      <c r="A52" s="13">
        <v>25</v>
      </c>
      <c r="B52" s="77" t="s">
        <v>351</v>
      </c>
      <c r="C52" s="89" t="s">
        <v>245</v>
      </c>
      <c r="D52" s="10"/>
      <c r="E52" s="14"/>
      <c r="F52" s="30"/>
      <c r="G52" s="30"/>
      <c r="H52" s="30"/>
      <c r="I52" s="10"/>
      <c r="J52" s="14"/>
      <c r="K52" s="48"/>
      <c r="L52" s="31"/>
      <c r="M52" s="34"/>
    </row>
    <row r="53" spans="1:13" ht="20" customHeight="1" x14ac:dyDescent="0.35">
      <c r="A53" s="13">
        <v>26</v>
      </c>
      <c r="B53" s="77" t="s">
        <v>351</v>
      </c>
      <c r="C53" s="89" t="s">
        <v>41</v>
      </c>
      <c r="D53" s="11"/>
      <c r="E53" s="15"/>
      <c r="F53" s="35"/>
      <c r="G53" s="35"/>
      <c r="H53" s="53"/>
      <c r="I53" s="18"/>
      <c r="J53" s="19"/>
      <c r="K53" s="49"/>
      <c r="L53" s="36"/>
      <c r="M53" s="37"/>
    </row>
    <row r="54" spans="1:13" ht="20" customHeight="1" x14ac:dyDescent="0.35">
      <c r="A54" s="13">
        <v>26</v>
      </c>
      <c r="B54" s="77" t="s">
        <v>351</v>
      </c>
      <c r="C54" s="89" t="s">
        <v>246</v>
      </c>
      <c r="D54" s="12"/>
      <c r="E54" s="13"/>
      <c r="F54" s="1"/>
      <c r="G54" s="1"/>
      <c r="H54" s="5"/>
      <c r="I54" s="16"/>
      <c r="J54" s="3"/>
      <c r="K54" s="50"/>
      <c r="L54" s="39"/>
      <c r="M54" s="40"/>
    </row>
    <row r="55" spans="1:13" ht="20" customHeight="1" x14ac:dyDescent="0.35">
      <c r="A55" s="13">
        <v>27</v>
      </c>
      <c r="B55" s="77" t="s">
        <v>351</v>
      </c>
      <c r="C55" s="89" t="s">
        <v>247</v>
      </c>
      <c r="D55" s="12"/>
      <c r="E55" s="13"/>
      <c r="F55" s="1"/>
      <c r="G55" s="1"/>
      <c r="H55" s="5"/>
      <c r="I55" s="16"/>
      <c r="J55" s="3"/>
      <c r="K55" s="50"/>
      <c r="L55" s="39"/>
      <c r="M55" s="40"/>
    </row>
    <row r="56" spans="1:13" ht="20" customHeight="1" thickBot="1" x14ac:dyDescent="0.4">
      <c r="A56" s="13">
        <v>27</v>
      </c>
      <c r="B56" s="77" t="s">
        <v>351</v>
      </c>
      <c r="C56" s="89" t="s">
        <v>248</v>
      </c>
      <c r="D56" s="16"/>
      <c r="E56" s="3"/>
      <c r="F56" s="5"/>
      <c r="G56" s="5"/>
      <c r="H56" s="5"/>
      <c r="I56" s="16"/>
      <c r="J56" s="3"/>
      <c r="K56" s="28"/>
      <c r="L56" s="45"/>
      <c r="M56" s="46"/>
    </row>
    <row r="57" spans="1:13" ht="20" customHeight="1" x14ac:dyDescent="0.35">
      <c r="A57" s="13">
        <v>28</v>
      </c>
      <c r="B57" s="77" t="s">
        <v>353</v>
      </c>
      <c r="C57" s="87" t="s">
        <v>199</v>
      </c>
      <c r="D57" s="8"/>
      <c r="E57" s="6"/>
      <c r="F57" s="9"/>
      <c r="G57" s="9"/>
      <c r="H57" s="51"/>
      <c r="I57" s="22"/>
      <c r="J57" s="17"/>
      <c r="K57" s="67" t="s">
        <v>55</v>
      </c>
      <c r="L57" s="29" t="s">
        <v>56</v>
      </c>
      <c r="M57" s="32"/>
    </row>
    <row r="58" spans="1:13" ht="20" customHeight="1" thickBot="1" x14ac:dyDescent="0.4">
      <c r="A58" s="13">
        <v>28</v>
      </c>
      <c r="B58" s="77" t="s">
        <v>353</v>
      </c>
      <c r="C58" s="87" t="s">
        <v>200</v>
      </c>
      <c r="D58" s="10"/>
      <c r="E58" s="14"/>
      <c r="F58" s="30"/>
      <c r="G58" s="30"/>
      <c r="H58" s="30"/>
      <c r="I58" s="10"/>
      <c r="J58" s="14"/>
      <c r="K58" s="48"/>
      <c r="L58" s="31"/>
      <c r="M58" s="34"/>
    </row>
    <row r="59" spans="1:13" ht="20" customHeight="1" x14ac:dyDescent="0.35">
      <c r="A59" s="13">
        <v>29</v>
      </c>
      <c r="B59" s="77" t="s">
        <v>353</v>
      </c>
      <c r="C59" s="87" t="s">
        <v>202</v>
      </c>
      <c r="D59" s="11"/>
      <c r="E59" s="15"/>
      <c r="F59" s="35"/>
      <c r="G59" s="35"/>
      <c r="H59" s="53"/>
      <c r="I59" s="18"/>
      <c r="J59" s="19"/>
      <c r="K59" s="49"/>
      <c r="L59" s="36"/>
      <c r="M59" s="37"/>
    </row>
    <row r="60" spans="1:13" ht="20" customHeight="1" x14ac:dyDescent="0.35">
      <c r="A60" s="13">
        <v>29</v>
      </c>
      <c r="B60" s="77" t="s">
        <v>353</v>
      </c>
      <c r="C60" s="87" t="s">
        <v>201</v>
      </c>
      <c r="D60" s="12"/>
      <c r="E60" s="13"/>
      <c r="F60" s="1"/>
      <c r="G60" s="1"/>
      <c r="H60" s="5"/>
      <c r="I60" s="16"/>
      <c r="J60" s="3"/>
      <c r="K60" s="50"/>
      <c r="L60" s="39"/>
      <c r="M60" s="40"/>
    </row>
    <row r="61" spans="1:13" ht="20" customHeight="1" x14ac:dyDescent="0.35">
      <c r="A61" s="13">
        <v>30</v>
      </c>
      <c r="B61" s="77" t="s">
        <v>353</v>
      </c>
      <c r="C61" s="87" t="s">
        <v>203</v>
      </c>
      <c r="D61" s="12"/>
      <c r="E61" s="13"/>
      <c r="F61" s="1"/>
      <c r="G61" s="1"/>
      <c r="H61" s="5"/>
      <c r="I61" s="16"/>
      <c r="J61" s="3"/>
      <c r="K61" s="50"/>
      <c r="L61" s="39"/>
      <c r="M61" s="40"/>
    </row>
    <row r="62" spans="1:13" ht="20" customHeight="1" x14ac:dyDescent="0.35">
      <c r="A62" s="13">
        <v>30</v>
      </c>
      <c r="B62" s="77" t="s">
        <v>353</v>
      </c>
      <c r="C62" s="87" t="s">
        <v>286</v>
      </c>
      <c r="D62" s="12"/>
      <c r="E62" s="13"/>
      <c r="F62" s="1"/>
      <c r="G62" s="1"/>
      <c r="H62" s="5"/>
      <c r="I62" s="16"/>
      <c r="J62" s="3"/>
      <c r="K62" s="50"/>
      <c r="L62" s="39"/>
      <c r="M62" s="40"/>
    </row>
    <row r="63" spans="1:13" ht="20" customHeight="1" x14ac:dyDescent="0.35">
      <c r="A63" s="13">
        <v>31</v>
      </c>
      <c r="B63" s="77" t="s">
        <v>353</v>
      </c>
      <c r="C63" s="87" t="s">
        <v>204</v>
      </c>
      <c r="D63" s="12"/>
      <c r="E63" s="13"/>
      <c r="F63" s="1"/>
      <c r="G63" s="1"/>
      <c r="H63" s="5"/>
      <c r="I63" s="16"/>
      <c r="J63" s="3"/>
      <c r="K63" s="50"/>
      <c r="L63" s="39"/>
      <c r="M63" s="40"/>
    </row>
    <row r="64" spans="1:13" ht="20" customHeight="1" x14ac:dyDescent="0.35">
      <c r="A64" s="13">
        <v>31</v>
      </c>
      <c r="B64" s="77" t="s">
        <v>353</v>
      </c>
      <c r="C64" s="87" t="s">
        <v>205</v>
      </c>
      <c r="D64" s="12"/>
      <c r="E64" s="13"/>
      <c r="F64" s="1"/>
      <c r="G64" s="1"/>
      <c r="H64" s="5"/>
      <c r="I64" s="16"/>
      <c r="J64" s="3"/>
      <c r="K64" s="50"/>
      <c r="L64" s="39"/>
      <c r="M64" s="40"/>
    </row>
    <row r="65" spans="1:13" ht="20" customHeight="1" x14ac:dyDescent="0.35">
      <c r="A65" s="13">
        <v>32</v>
      </c>
      <c r="B65" s="77" t="s">
        <v>353</v>
      </c>
      <c r="C65" s="87" t="s">
        <v>207</v>
      </c>
      <c r="D65" s="12"/>
      <c r="E65" s="13"/>
      <c r="F65" s="1"/>
      <c r="G65" s="1"/>
      <c r="H65" s="5"/>
      <c r="I65" s="16"/>
      <c r="J65" s="3"/>
      <c r="K65" s="50"/>
      <c r="L65" s="39"/>
      <c r="M65" s="40"/>
    </row>
    <row r="66" spans="1:13" ht="20" customHeight="1" x14ac:dyDescent="0.35">
      <c r="A66" s="13">
        <v>32</v>
      </c>
      <c r="B66" s="77" t="s">
        <v>353</v>
      </c>
      <c r="C66" s="87" t="s">
        <v>206</v>
      </c>
      <c r="D66" s="12"/>
      <c r="E66" s="13"/>
      <c r="F66" s="1"/>
      <c r="G66" s="1"/>
      <c r="H66" s="5"/>
      <c r="I66" s="16"/>
      <c r="J66" s="3"/>
      <c r="K66" s="50"/>
      <c r="L66" s="39"/>
      <c r="M66" s="40"/>
    </row>
    <row r="67" spans="1:13" ht="20" customHeight="1" x14ac:dyDescent="0.35">
      <c r="A67" s="13">
        <v>33</v>
      </c>
      <c r="B67" s="77" t="s">
        <v>353</v>
      </c>
      <c r="C67" s="87" t="s">
        <v>208</v>
      </c>
      <c r="D67" s="12"/>
      <c r="E67" s="13"/>
      <c r="F67" s="1"/>
      <c r="G67" s="1"/>
      <c r="H67" s="5"/>
      <c r="I67" s="16"/>
      <c r="J67" s="3"/>
      <c r="K67" s="50"/>
      <c r="L67" s="39"/>
      <c r="M67" s="40"/>
    </row>
    <row r="68" spans="1:13" ht="20" customHeight="1" x14ac:dyDescent="0.35">
      <c r="A68" s="13">
        <v>33</v>
      </c>
      <c r="B68" s="77" t="s">
        <v>353</v>
      </c>
      <c r="C68" s="87" t="s">
        <v>209</v>
      </c>
      <c r="D68" s="12"/>
      <c r="E68" s="13"/>
      <c r="F68" s="1"/>
      <c r="G68" s="1"/>
      <c r="H68" s="5"/>
      <c r="I68" s="16"/>
      <c r="J68" s="3"/>
      <c r="K68" s="50"/>
      <c r="L68" s="39"/>
      <c r="M68" s="40"/>
    </row>
    <row r="69" spans="1:13" ht="20" customHeight="1" x14ac:dyDescent="0.35">
      <c r="A69" s="13">
        <v>33</v>
      </c>
      <c r="B69" s="77" t="s">
        <v>353</v>
      </c>
      <c r="C69" s="87" t="s">
        <v>287</v>
      </c>
      <c r="D69" s="12"/>
      <c r="E69" s="13"/>
      <c r="F69" s="1"/>
      <c r="G69" s="1"/>
      <c r="H69" s="5"/>
      <c r="I69" s="16"/>
      <c r="J69" s="3"/>
      <c r="K69" s="50"/>
      <c r="L69" s="39"/>
      <c r="M69" s="40"/>
    </row>
    <row r="70" spans="1:13" ht="20" customHeight="1" x14ac:dyDescent="0.35">
      <c r="A70" s="13">
        <v>33</v>
      </c>
      <c r="B70" s="77" t="s">
        <v>353</v>
      </c>
      <c r="C70" s="87" t="s">
        <v>283</v>
      </c>
      <c r="D70" s="12"/>
      <c r="E70" s="13"/>
      <c r="F70" s="1"/>
      <c r="G70" s="1"/>
      <c r="H70" s="5"/>
      <c r="I70" s="16"/>
      <c r="J70" s="3"/>
      <c r="K70" s="50"/>
      <c r="L70" s="39"/>
      <c r="M70" s="40"/>
    </row>
    <row r="71" spans="1:13" ht="20" customHeight="1" x14ac:dyDescent="0.35">
      <c r="A71" s="13">
        <v>33</v>
      </c>
      <c r="B71" s="77" t="s">
        <v>353</v>
      </c>
      <c r="C71" s="87" t="s">
        <v>282</v>
      </c>
      <c r="D71" s="12"/>
      <c r="E71" s="13"/>
      <c r="F71" s="1"/>
      <c r="G71" s="1"/>
      <c r="H71" s="5"/>
      <c r="I71" s="16"/>
      <c r="J71" s="3"/>
      <c r="K71" s="50"/>
      <c r="L71" s="39"/>
      <c r="M71" s="40"/>
    </row>
    <row r="72" spans="1:13" ht="20" customHeight="1" x14ac:dyDescent="0.35">
      <c r="A72" s="13">
        <v>34</v>
      </c>
      <c r="B72" s="77" t="s">
        <v>352</v>
      </c>
      <c r="C72" s="89" t="s">
        <v>193</v>
      </c>
      <c r="D72" s="12"/>
      <c r="E72" s="13"/>
      <c r="F72" s="1"/>
      <c r="G72" s="1"/>
      <c r="H72" s="5"/>
      <c r="I72" s="16"/>
      <c r="J72" s="3"/>
      <c r="K72" s="50" t="s">
        <v>35</v>
      </c>
      <c r="L72" s="39" t="s">
        <v>53</v>
      </c>
      <c r="M72" s="40"/>
    </row>
    <row r="73" spans="1:13" ht="20" customHeight="1" thickBot="1" x14ac:dyDescent="0.4">
      <c r="A73" s="13">
        <v>34</v>
      </c>
      <c r="B73" s="77" t="s">
        <v>352</v>
      </c>
      <c r="C73" s="89" t="s">
        <v>333</v>
      </c>
      <c r="D73" s="16"/>
      <c r="E73" s="3"/>
      <c r="F73" s="5"/>
      <c r="G73" s="5"/>
      <c r="H73" s="5"/>
      <c r="I73" s="16"/>
      <c r="J73" s="3"/>
      <c r="K73" s="28"/>
      <c r="L73" s="45"/>
      <c r="M73" s="46"/>
    </row>
    <row r="74" spans="1:13" ht="20" customHeight="1" x14ac:dyDescent="0.35">
      <c r="A74" s="13">
        <v>35</v>
      </c>
      <c r="B74" s="77" t="s">
        <v>352</v>
      </c>
      <c r="C74" s="89" t="s">
        <v>194</v>
      </c>
      <c r="D74" s="8"/>
      <c r="E74" s="6"/>
      <c r="F74" s="9"/>
      <c r="G74" s="9"/>
      <c r="H74" s="51"/>
      <c r="I74" s="22"/>
      <c r="J74" s="17"/>
      <c r="K74" s="52"/>
      <c r="L74" s="29"/>
      <c r="M74" s="32"/>
    </row>
    <row r="75" spans="1:13" ht="20" customHeight="1" thickBot="1" x14ac:dyDescent="0.4">
      <c r="A75" s="13">
        <v>35</v>
      </c>
      <c r="B75" s="77" t="s">
        <v>352</v>
      </c>
      <c r="C75" s="89" t="s">
        <v>332</v>
      </c>
      <c r="D75" s="10"/>
      <c r="E75" s="14"/>
      <c r="F75" s="30"/>
      <c r="G75" s="30"/>
      <c r="H75" s="30"/>
      <c r="I75" s="10"/>
      <c r="J75" s="14"/>
      <c r="K75" s="48"/>
      <c r="L75" s="31"/>
      <c r="M75" s="34"/>
    </row>
    <row r="76" spans="1:13" ht="20" customHeight="1" x14ac:dyDescent="0.35">
      <c r="A76" s="13">
        <v>36</v>
      </c>
      <c r="B76" s="77" t="s">
        <v>82</v>
      </c>
      <c r="C76" s="89" t="s">
        <v>337</v>
      </c>
      <c r="D76" s="11"/>
      <c r="E76" s="15"/>
      <c r="F76" s="35"/>
      <c r="G76" s="35"/>
      <c r="H76" s="53"/>
      <c r="I76" s="18"/>
      <c r="J76" s="19"/>
      <c r="K76" s="49" t="s">
        <v>35</v>
      </c>
      <c r="L76" s="36" t="s">
        <v>138</v>
      </c>
      <c r="M76" s="37"/>
    </row>
    <row r="77" spans="1:13" ht="20" customHeight="1" x14ac:dyDescent="0.35">
      <c r="A77" s="13">
        <v>36</v>
      </c>
      <c r="B77" s="77" t="s">
        <v>82</v>
      </c>
      <c r="C77" s="89" t="s">
        <v>336</v>
      </c>
      <c r="D77" s="12"/>
      <c r="E77" s="13"/>
      <c r="F77" s="1"/>
      <c r="G77" s="1"/>
      <c r="H77" s="5"/>
      <c r="I77" s="16"/>
      <c r="J77" s="3"/>
      <c r="K77" s="50"/>
      <c r="L77" s="39"/>
      <c r="M77" s="40"/>
    </row>
    <row r="78" spans="1:13" ht="20" customHeight="1" x14ac:dyDescent="0.35">
      <c r="A78" s="13">
        <v>37</v>
      </c>
      <c r="B78" s="77" t="s">
        <v>82</v>
      </c>
      <c r="C78" s="89" t="s">
        <v>338</v>
      </c>
      <c r="D78" s="12"/>
      <c r="E78" s="13"/>
      <c r="F78" s="1"/>
      <c r="G78" s="1"/>
      <c r="H78" s="5"/>
      <c r="I78" s="16"/>
      <c r="J78" s="3"/>
      <c r="K78" s="50"/>
      <c r="L78" s="39"/>
      <c r="M78" s="40"/>
    </row>
    <row r="79" spans="1:13" ht="20" customHeight="1" thickBot="1" x14ac:dyDescent="0.4">
      <c r="A79" s="13">
        <v>37</v>
      </c>
      <c r="B79" s="77" t="s">
        <v>82</v>
      </c>
      <c r="C79" s="89" t="s">
        <v>45</v>
      </c>
      <c r="D79" s="16"/>
      <c r="E79" s="3"/>
      <c r="F79" s="5"/>
      <c r="G79" s="5"/>
      <c r="H79" s="5"/>
      <c r="I79" s="16"/>
      <c r="J79" s="3"/>
      <c r="K79" s="28"/>
      <c r="L79" s="45"/>
      <c r="M79" s="46"/>
    </row>
    <row r="80" spans="1:13" ht="20" customHeight="1" x14ac:dyDescent="0.35">
      <c r="A80" s="13">
        <v>38</v>
      </c>
      <c r="B80" s="77" t="s">
        <v>82</v>
      </c>
      <c r="C80" s="89" t="s">
        <v>340</v>
      </c>
      <c r="D80" s="8"/>
      <c r="E80" s="6"/>
      <c r="F80" s="9"/>
      <c r="G80" s="9"/>
      <c r="H80" s="51"/>
      <c r="I80" s="22"/>
      <c r="J80" s="17"/>
      <c r="K80" s="52"/>
      <c r="L80" s="29"/>
      <c r="M80" s="32"/>
    </row>
    <row r="81" spans="1:14" ht="20" customHeight="1" x14ac:dyDescent="0.35">
      <c r="A81" s="13">
        <v>38</v>
      </c>
      <c r="B81" s="77" t="s">
        <v>82</v>
      </c>
      <c r="C81" s="89" t="s">
        <v>339</v>
      </c>
      <c r="D81" s="12"/>
      <c r="E81" s="13"/>
      <c r="F81" s="1"/>
      <c r="G81" s="1"/>
      <c r="H81" s="5"/>
      <c r="I81" s="16"/>
      <c r="J81" s="3"/>
      <c r="K81" s="50"/>
      <c r="L81" s="39"/>
      <c r="M81" s="40"/>
    </row>
    <row r="82" spans="1:14" ht="20" customHeight="1" x14ac:dyDescent="0.35">
      <c r="A82" s="13">
        <v>39</v>
      </c>
      <c r="B82" s="77" t="s">
        <v>82</v>
      </c>
      <c r="C82" s="89" t="s">
        <v>47</v>
      </c>
      <c r="D82" s="12"/>
      <c r="E82" s="13"/>
      <c r="F82" s="1"/>
      <c r="G82" s="1"/>
      <c r="H82" s="5"/>
      <c r="I82" s="16"/>
      <c r="J82" s="3"/>
      <c r="K82" s="50"/>
      <c r="L82" s="39"/>
      <c r="M82" s="40"/>
    </row>
    <row r="83" spans="1:14" ht="20" customHeight="1" x14ac:dyDescent="0.35">
      <c r="A83" s="13">
        <v>39</v>
      </c>
      <c r="B83" s="77" t="s">
        <v>82</v>
      </c>
      <c r="C83" s="89" t="s">
        <v>46</v>
      </c>
      <c r="D83" s="12"/>
      <c r="E83" s="13"/>
      <c r="F83" s="1"/>
      <c r="G83" s="1"/>
      <c r="H83" s="5"/>
      <c r="I83" s="16"/>
      <c r="J83" s="3"/>
      <c r="K83" s="50"/>
      <c r="L83" s="39"/>
      <c r="M83" s="40"/>
    </row>
    <row r="84" spans="1:14" ht="20" customHeight="1" x14ac:dyDescent="0.35">
      <c r="A84" s="13">
        <v>40</v>
      </c>
      <c r="B84" s="80" t="s">
        <v>210</v>
      </c>
      <c r="C84" s="88" t="s">
        <v>249</v>
      </c>
      <c r="D84" s="12"/>
      <c r="E84" s="13"/>
      <c r="F84" s="1"/>
      <c r="G84" s="1"/>
      <c r="H84" s="5"/>
      <c r="I84" s="16"/>
      <c r="J84" s="3"/>
      <c r="K84" s="50" t="s">
        <v>257</v>
      </c>
      <c r="L84" s="39" t="s">
        <v>265</v>
      </c>
      <c r="M84" s="1"/>
      <c r="N84" s="66"/>
    </row>
    <row r="85" spans="1:14" ht="20" customHeight="1" x14ac:dyDescent="0.35">
      <c r="A85" s="13">
        <v>40</v>
      </c>
      <c r="B85" s="80" t="s">
        <v>210</v>
      </c>
      <c r="C85" s="88" t="s">
        <v>250</v>
      </c>
      <c r="D85" s="12"/>
      <c r="E85" s="13"/>
      <c r="F85" s="1"/>
      <c r="G85" s="1"/>
      <c r="H85" s="5"/>
      <c r="I85" s="16"/>
      <c r="J85" s="3"/>
      <c r="K85" s="1"/>
      <c r="L85" s="39"/>
      <c r="M85" s="1"/>
      <c r="N85" s="66"/>
    </row>
    <row r="86" spans="1:14" ht="20" customHeight="1" x14ac:dyDescent="0.35">
      <c r="A86" s="13">
        <v>41</v>
      </c>
      <c r="B86" s="80" t="s">
        <v>210</v>
      </c>
      <c r="C86" s="88" t="s">
        <v>252</v>
      </c>
      <c r="D86" s="12"/>
      <c r="E86" s="13"/>
      <c r="F86" s="1"/>
      <c r="G86" s="1"/>
      <c r="H86" s="5"/>
      <c r="I86" s="16"/>
      <c r="J86" s="3"/>
      <c r="K86" s="1"/>
      <c r="L86" s="39"/>
      <c r="M86" s="1"/>
      <c r="N86" s="66"/>
    </row>
    <row r="87" spans="1:14" ht="20" customHeight="1" x14ac:dyDescent="0.35">
      <c r="A87" s="13">
        <v>41</v>
      </c>
      <c r="B87" s="80" t="s">
        <v>210</v>
      </c>
      <c r="C87" s="88" t="s">
        <v>251</v>
      </c>
      <c r="D87" s="12"/>
      <c r="E87" s="13"/>
      <c r="F87" s="1"/>
      <c r="G87" s="1"/>
      <c r="H87" s="5"/>
      <c r="I87" s="16"/>
      <c r="J87" s="3"/>
      <c r="K87" s="1"/>
      <c r="L87" s="39"/>
      <c r="M87" s="1"/>
      <c r="N87" s="66"/>
    </row>
    <row r="88" spans="1:14" ht="20" customHeight="1" thickBot="1" x14ac:dyDescent="0.4">
      <c r="A88" s="13">
        <v>42</v>
      </c>
      <c r="B88" s="80" t="s">
        <v>210</v>
      </c>
      <c r="C88" s="88" t="s">
        <v>254</v>
      </c>
      <c r="D88" s="10"/>
      <c r="E88" s="14"/>
      <c r="F88" s="30"/>
      <c r="G88" s="30"/>
      <c r="H88" s="30"/>
      <c r="I88" s="10"/>
      <c r="J88" s="14"/>
      <c r="K88" s="30"/>
      <c r="L88" s="31"/>
      <c r="M88" s="30"/>
      <c r="N88" s="66"/>
    </row>
    <row r="89" spans="1:14" ht="20" customHeight="1" x14ac:dyDescent="0.35">
      <c r="A89" s="13">
        <v>42</v>
      </c>
      <c r="B89" s="80" t="s">
        <v>210</v>
      </c>
      <c r="C89" s="88" t="s">
        <v>253</v>
      </c>
      <c r="D89" s="11"/>
      <c r="E89" s="15"/>
      <c r="F89" s="35"/>
      <c r="G89" s="35"/>
      <c r="H89" s="53"/>
      <c r="I89" s="18"/>
      <c r="J89" s="19"/>
      <c r="K89" s="66"/>
      <c r="L89" s="70"/>
      <c r="M89" s="35"/>
      <c r="N89" s="66"/>
    </row>
    <row r="90" spans="1:14" ht="20" customHeight="1" x14ac:dyDescent="0.35">
      <c r="A90" s="13">
        <v>43</v>
      </c>
      <c r="B90" s="80" t="s">
        <v>85</v>
      </c>
      <c r="C90" s="87" t="s">
        <v>135</v>
      </c>
      <c r="D90" s="12">
        <v>3000</v>
      </c>
      <c r="E90" s="13">
        <f>3000*2</f>
        <v>6000</v>
      </c>
      <c r="F90" s="1">
        <f>E90*18%</f>
        <v>1080</v>
      </c>
      <c r="G90" s="1">
        <f>E90+F90</f>
        <v>7080</v>
      </c>
      <c r="H90" s="5">
        <v>0</v>
      </c>
      <c r="I90" s="16">
        <v>7080</v>
      </c>
      <c r="J90" s="3">
        <v>0</v>
      </c>
      <c r="K90" s="1" t="s">
        <v>11</v>
      </c>
      <c r="L90" s="1" t="s">
        <v>87</v>
      </c>
      <c r="M90" s="59">
        <v>46066</v>
      </c>
      <c r="N90" s="2" t="s">
        <v>113</v>
      </c>
    </row>
    <row r="91" spans="1:14" ht="20" customHeight="1" x14ac:dyDescent="0.35">
      <c r="A91" s="13">
        <v>43</v>
      </c>
      <c r="B91" s="80" t="s">
        <v>85</v>
      </c>
      <c r="C91" s="87" t="s">
        <v>288</v>
      </c>
      <c r="D91" s="12"/>
      <c r="E91" s="13"/>
      <c r="F91" s="1"/>
      <c r="G91" s="1"/>
      <c r="H91" s="5"/>
      <c r="I91" s="16"/>
      <c r="J91" s="3"/>
      <c r="K91" s="50"/>
      <c r="L91" s="39"/>
      <c r="M91" s="73">
        <v>46067</v>
      </c>
      <c r="N91" s="2" t="s">
        <v>112</v>
      </c>
    </row>
    <row r="92" spans="1:14" ht="20" customHeight="1" thickBot="1" x14ac:dyDescent="0.4">
      <c r="A92" s="13">
        <v>44</v>
      </c>
      <c r="B92" s="80" t="s">
        <v>85</v>
      </c>
      <c r="C92" s="87" t="s">
        <v>136</v>
      </c>
      <c r="D92" s="16"/>
      <c r="E92" s="3"/>
      <c r="F92" s="5"/>
      <c r="G92" s="5"/>
      <c r="H92" s="5"/>
      <c r="I92" s="16"/>
      <c r="J92" s="3"/>
      <c r="K92" s="28"/>
      <c r="L92" s="45"/>
      <c r="M92" s="46"/>
    </row>
    <row r="93" spans="1:14" ht="20" customHeight="1" x14ac:dyDescent="0.35">
      <c r="A93" s="13">
        <v>44</v>
      </c>
      <c r="B93" s="80" t="s">
        <v>85</v>
      </c>
      <c r="C93" s="87" t="s">
        <v>137</v>
      </c>
      <c r="D93" s="20"/>
      <c r="E93" s="6"/>
      <c r="F93" s="9"/>
      <c r="G93" s="9"/>
      <c r="H93" s="51"/>
      <c r="I93" s="22"/>
      <c r="J93" s="17"/>
      <c r="K93" s="67"/>
      <c r="L93" s="29"/>
      <c r="M93" s="32"/>
    </row>
    <row r="94" spans="1:14" ht="20" customHeight="1" thickBot="1" x14ac:dyDescent="0.4">
      <c r="A94" s="13">
        <v>45</v>
      </c>
      <c r="B94" s="83" t="s">
        <v>83</v>
      </c>
      <c r="C94" s="89" t="s">
        <v>39</v>
      </c>
      <c r="D94" s="21"/>
      <c r="E94" s="14"/>
      <c r="F94" s="30"/>
      <c r="G94" s="30"/>
      <c r="H94" s="30"/>
      <c r="I94" s="10"/>
      <c r="J94" s="14"/>
      <c r="K94" s="48" t="s">
        <v>50</v>
      </c>
      <c r="L94" s="31" t="s">
        <v>49</v>
      </c>
      <c r="M94" s="34"/>
    </row>
    <row r="95" spans="1:14" ht="20" customHeight="1" x14ac:dyDescent="0.35">
      <c r="A95" s="13">
        <v>45</v>
      </c>
      <c r="B95" s="83" t="s">
        <v>83</v>
      </c>
      <c r="C95" s="89" t="s">
        <v>40</v>
      </c>
      <c r="D95" s="20"/>
      <c r="E95" s="6"/>
      <c r="F95" s="9"/>
      <c r="G95" s="9"/>
      <c r="H95" s="51"/>
      <c r="I95" s="22"/>
      <c r="J95" s="17"/>
      <c r="K95" s="52"/>
      <c r="L95" s="29"/>
      <c r="M95" s="32"/>
    </row>
    <row r="96" spans="1:14" ht="20" customHeight="1" x14ac:dyDescent="0.35">
      <c r="A96" s="13">
        <v>46</v>
      </c>
      <c r="B96" s="83" t="s">
        <v>83</v>
      </c>
      <c r="C96" s="89" t="s">
        <v>42</v>
      </c>
      <c r="D96" s="12"/>
      <c r="E96" s="13"/>
      <c r="F96" s="1"/>
      <c r="G96" s="1"/>
      <c r="H96" s="5"/>
      <c r="I96" s="16"/>
      <c r="J96" s="3"/>
      <c r="K96" s="50"/>
      <c r="L96" s="39"/>
      <c r="M96" s="40"/>
    </row>
    <row r="97" spans="1:14" ht="20" customHeight="1" x14ac:dyDescent="0.35">
      <c r="A97" s="13">
        <v>46</v>
      </c>
      <c r="B97" s="83" t="s">
        <v>83</v>
      </c>
      <c r="C97" s="89" t="s">
        <v>41</v>
      </c>
      <c r="D97" s="12"/>
      <c r="E97" s="13"/>
      <c r="F97" s="1"/>
      <c r="G97" s="1"/>
      <c r="H97" s="5"/>
      <c r="I97" s="16"/>
      <c r="J97" s="3"/>
      <c r="K97" s="50"/>
      <c r="L97" s="39"/>
      <c r="M97" s="40"/>
    </row>
    <row r="98" spans="1:14" ht="20" customHeight="1" thickBot="1" x14ac:dyDescent="0.4">
      <c r="A98" s="13">
        <v>47</v>
      </c>
      <c r="B98" s="84" t="s">
        <v>349</v>
      </c>
      <c r="C98" s="87" t="s">
        <v>24</v>
      </c>
      <c r="D98" s="10"/>
      <c r="E98" s="14"/>
      <c r="F98" s="30"/>
      <c r="G98" s="30">
        <v>7080</v>
      </c>
      <c r="H98" s="30"/>
      <c r="I98" s="10"/>
      <c r="J98" s="14"/>
      <c r="K98" s="42" t="s">
        <v>23</v>
      </c>
      <c r="L98" s="31" t="s">
        <v>32</v>
      </c>
      <c r="M98" s="34"/>
    </row>
    <row r="99" spans="1:14" ht="20" customHeight="1" x14ac:dyDescent="0.35">
      <c r="A99" s="13">
        <v>47</v>
      </c>
      <c r="B99" s="84" t="s">
        <v>349</v>
      </c>
      <c r="C99" s="87" t="s">
        <v>25</v>
      </c>
      <c r="D99" s="8"/>
      <c r="E99" s="15"/>
      <c r="F99" s="35"/>
      <c r="G99" s="35"/>
      <c r="H99" s="53"/>
      <c r="I99" s="18"/>
      <c r="J99" s="19"/>
      <c r="K99" s="43"/>
      <c r="L99" s="29"/>
      <c r="M99" s="37"/>
    </row>
    <row r="100" spans="1:14" ht="20" customHeight="1" x14ac:dyDescent="0.35">
      <c r="A100" s="13">
        <v>48</v>
      </c>
      <c r="B100" s="84" t="s">
        <v>349</v>
      </c>
      <c r="C100" s="87" t="s">
        <v>26</v>
      </c>
      <c r="D100" s="12"/>
      <c r="E100" s="13"/>
      <c r="F100" s="1"/>
      <c r="G100" s="1"/>
      <c r="H100" s="5"/>
      <c r="I100" s="16"/>
      <c r="J100" s="3"/>
      <c r="K100" s="41"/>
      <c r="L100" s="39"/>
      <c r="M100" s="40"/>
    </row>
    <row r="101" spans="1:14" ht="20" customHeight="1" thickBot="1" x14ac:dyDescent="0.4">
      <c r="A101" s="13">
        <v>48</v>
      </c>
      <c r="B101" s="84" t="s">
        <v>349</v>
      </c>
      <c r="C101" s="87" t="s">
        <v>27</v>
      </c>
      <c r="D101" s="10"/>
      <c r="E101" s="3"/>
      <c r="F101" s="5"/>
      <c r="G101" s="5"/>
      <c r="H101" s="5"/>
      <c r="I101" s="16"/>
      <c r="J101" s="3"/>
      <c r="K101" s="44"/>
      <c r="L101" s="45"/>
      <c r="M101" s="46"/>
    </row>
    <row r="102" spans="1:14" ht="20" customHeight="1" x14ac:dyDescent="0.35">
      <c r="A102" s="13">
        <v>49</v>
      </c>
      <c r="B102" s="80" t="s">
        <v>368</v>
      </c>
      <c r="C102" s="88" t="s">
        <v>329</v>
      </c>
      <c r="D102" s="11">
        <v>3000</v>
      </c>
      <c r="E102" s="6">
        <f>3000*2</f>
        <v>6000</v>
      </c>
      <c r="F102" s="9">
        <f>E102*18%</f>
        <v>1080</v>
      </c>
      <c r="G102" s="9">
        <f>E102+F102</f>
        <v>7080</v>
      </c>
      <c r="H102" s="51"/>
      <c r="I102" s="22"/>
      <c r="J102" s="17"/>
      <c r="K102" s="9" t="s">
        <v>189</v>
      </c>
      <c r="L102" s="29" t="s">
        <v>191</v>
      </c>
      <c r="M102" s="9"/>
      <c r="N102" s="66"/>
    </row>
    <row r="103" spans="1:14" ht="20" customHeight="1" x14ac:dyDescent="0.35">
      <c r="A103" s="13">
        <v>49</v>
      </c>
      <c r="B103" s="80" t="s">
        <v>368</v>
      </c>
      <c r="C103" s="88" t="s">
        <v>328</v>
      </c>
      <c r="D103" s="12"/>
      <c r="E103" s="13"/>
      <c r="F103" s="1"/>
      <c r="G103" s="1"/>
      <c r="H103" s="5"/>
      <c r="I103" s="16"/>
      <c r="J103" s="3"/>
      <c r="K103" s="1"/>
      <c r="L103" s="39"/>
      <c r="M103" s="1"/>
      <c r="N103" s="66"/>
    </row>
    <row r="104" spans="1:14" ht="20" customHeight="1" x14ac:dyDescent="0.35">
      <c r="A104" s="13">
        <v>50</v>
      </c>
      <c r="B104" s="80" t="s">
        <v>368</v>
      </c>
      <c r="C104" s="88" t="s">
        <v>331</v>
      </c>
      <c r="D104" s="12"/>
      <c r="E104" s="13"/>
      <c r="F104" s="1"/>
      <c r="G104" s="1"/>
      <c r="H104" s="5"/>
      <c r="I104" s="16"/>
      <c r="J104" s="3"/>
      <c r="K104" s="1"/>
      <c r="L104" s="39"/>
      <c r="M104" s="1"/>
      <c r="N104" s="66"/>
    </row>
    <row r="105" spans="1:14" ht="20" customHeight="1" x14ac:dyDescent="0.35">
      <c r="A105" s="13">
        <v>50</v>
      </c>
      <c r="B105" s="80" t="s">
        <v>368</v>
      </c>
      <c r="C105" s="88" t="s">
        <v>330</v>
      </c>
      <c r="D105" s="16"/>
      <c r="E105" s="3"/>
      <c r="F105" s="5"/>
      <c r="G105" s="5"/>
      <c r="H105" s="5"/>
      <c r="I105" s="16"/>
      <c r="J105" s="3"/>
      <c r="K105" s="5"/>
      <c r="L105" s="45"/>
      <c r="M105" s="5"/>
      <c r="N105" s="66"/>
    </row>
    <row r="106" spans="1:14" ht="20" customHeight="1" x14ac:dyDescent="0.35">
      <c r="A106" s="13">
        <v>51</v>
      </c>
      <c r="B106" s="77" t="s">
        <v>341</v>
      </c>
      <c r="C106" s="87" t="s">
        <v>17</v>
      </c>
      <c r="D106" s="12">
        <v>3000</v>
      </c>
      <c r="E106" s="12">
        <v>6000</v>
      </c>
      <c r="F106" s="12">
        <f>E106*18%</f>
        <v>1080</v>
      </c>
      <c r="G106" s="1">
        <f>E106+F106</f>
        <v>7080</v>
      </c>
      <c r="H106" s="12"/>
      <c r="I106" s="12"/>
      <c r="J106" s="12"/>
      <c r="K106" s="1" t="s">
        <v>18</v>
      </c>
      <c r="L106" s="39" t="s">
        <v>21</v>
      </c>
      <c r="M106" s="40"/>
    </row>
    <row r="107" spans="1:14" ht="20" customHeight="1" x14ac:dyDescent="0.35">
      <c r="A107" s="13">
        <v>51</v>
      </c>
      <c r="B107" s="77" t="s">
        <v>341</v>
      </c>
      <c r="C107" s="87" t="s">
        <v>359</v>
      </c>
      <c r="D107" s="12"/>
      <c r="E107" s="12"/>
      <c r="F107" s="12"/>
      <c r="G107" s="1"/>
      <c r="H107" s="16"/>
      <c r="I107" s="16"/>
      <c r="J107" s="16"/>
      <c r="K107" s="1"/>
      <c r="L107" s="39"/>
      <c r="M107" s="40"/>
    </row>
    <row r="108" spans="1:14" ht="20" customHeight="1" x14ac:dyDescent="0.35">
      <c r="A108" s="13">
        <v>52</v>
      </c>
      <c r="B108" s="77" t="s">
        <v>341</v>
      </c>
      <c r="C108" s="87" t="s">
        <v>360</v>
      </c>
      <c r="D108" s="12"/>
      <c r="E108" s="13"/>
      <c r="F108" s="1"/>
      <c r="G108" s="1"/>
      <c r="H108" s="5"/>
      <c r="I108" s="16"/>
      <c r="J108" s="3"/>
      <c r="K108" s="41"/>
      <c r="L108" s="39"/>
      <c r="M108" s="40"/>
    </row>
    <row r="109" spans="1:14" ht="20" customHeight="1" thickBot="1" x14ac:dyDescent="0.4">
      <c r="A109" s="13">
        <v>52</v>
      </c>
      <c r="B109" s="77" t="s">
        <v>341</v>
      </c>
      <c r="C109" s="87" t="s">
        <v>346</v>
      </c>
      <c r="D109" s="16"/>
      <c r="E109" s="3"/>
      <c r="F109" s="5"/>
      <c r="G109" s="5"/>
      <c r="H109" s="5"/>
      <c r="I109" s="16"/>
      <c r="J109" s="3"/>
      <c r="K109" s="44"/>
      <c r="L109" s="45"/>
      <c r="M109" s="46"/>
    </row>
    <row r="110" spans="1:14" ht="20" customHeight="1" x14ac:dyDescent="0.35">
      <c r="A110" s="13">
        <v>53</v>
      </c>
      <c r="B110" s="77" t="s">
        <v>84</v>
      </c>
      <c r="C110" s="89" t="s">
        <v>44</v>
      </c>
      <c r="D110" s="8"/>
      <c r="E110" s="6"/>
      <c r="F110" s="9"/>
      <c r="G110" s="9"/>
      <c r="H110" s="9"/>
      <c r="I110" s="8"/>
      <c r="J110" s="6"/>
      <c r="K110" s="9" t="s">
        <v>48</v>
      </c>
      <c r="L110" s="29" t="s">
        <v>54</v>
      </c>
      <c r="M110" s="57">
        <v>46064</v>
      </c>
    </row>
    <row r="111" spans="1:14" ht="20" customHeight="1" x14ac:dyDescent="0.35">
      <c r="A111" s="13">
        <v>53</v>
      </c>
      <c r="B111" s="77" t="s">
        <v>84</v>
      </c>
      <c r="C111" s="89" t="s">
        <v>43</v>
      </c>
      <c r="D111" s="12"/>
      <c r="E111" s="13"/>
      <c r="F111" s="1"/>
      <c r="G111" s="1"/>
      <c r="H111" s="5"/>
      <c r="I111" s="16"/>
      <c r="J111" s="3"/>
      <c r="K111" s="50"/>
      <c r="L111" s="39"/>
      <c r="M111" s="40" t="s">
        <v>157</v>
      </c>
    </row>
    <row r="112" spans="1:14" ht="20" customHeight="1" x14ac:dyDescent="0.35">
      <c r="A112" s="13">
        <v>54</v>
      </c>
      <c r="B112" s="77" t="s">
        <v>357</v>
      </c>
      <c r="C112" s="90" t="s">
        <v>358</v>
      </c>
      <c r="D112" s="65">
        <v>3000</v>
      </c>
      <c r="E112" s="12">
        <v>3000</v>
      </c>
      <c r="F112" s="65">
        <f>E112*18%</f>
        <v>540</v>
      </c>
      <c r="G112" s="1">
        <f>E112+F112</f>
        <v>3540</v>
      </c>
      <c r="H112" s="16">
        <v>0</v>
      </c>
      <c r="I112" s="16">
        <v>3540</v>
      </c>
      <c r="J112" s="16">
        <v>0</v>
      </c>
      <c r="K112" s="13">
        <v>0</v>
      </c>
      <c r="L112" s="39" t="s">
        <v>19</v>
      </c>
      <c r="M112" s="72">
        <v>46058</v>
      </c>
    </row>
    <row r="113" spans="1:14" ht="20" customHeight="1" x14ac:dyDescent="0.35">
      <c r="A113" s="13">
        <v>54</v>
      </c>
      <c r="B113" s="77" t="s">
        <v>357</v>
      </c>
      <c r="C113" s="90" t="s">
        <v>14</v>
      </c>
      <c r="D113" s="12"/>
      <c r="E113" s="12"/>
      <c r="F113" s="12"/>
      <c r="G113" s="1"/>
      <c r="H113" s="16"/>
      <c r="I113" s="16"/>
      <c r="J113" s="16"/>
      <c r="K113" s="1"/>
      <c r="L113" s="39"/>
      <c r="M113" s="74" t="s">
        <v>156</v>
      </c>
    </row>
    <row r="114" spans="1:14" ht="20" customHeight="1" thickBot="1" x14ac:dyDescent="0.4">
      <c r="A114" s="13">
        <v>55</v>
      </c>
      <c r="B114" s="77" t="s">
        <v>151</v>
      </c>
      <c r="C114" s="88" t="s">
        <v>146</v>
      </c>
      <c r="D114" s="10"/>
      <c r="E114" s="14"/>
      <c r="F114" s="30"/>
      <c r="G114" s="30"/>
      <c r="H114" s="30"/>
      <c r="I114" s="10"/>
      <c r="J114" s="14"/>
      <c r="K114" s="33" t="s">
        <v>144</v>
      </c>
      <c r="L114" s="31" t="s">
        <v>164</v>
      </c>
      <c r="M114" s="30"/>
    </row>
    <row r="115" spans="1:14" ht="20" customHeight="1" x14ac:dyDescent="0.35">
      <c r="A115" s="13">
        <v>55</v>
      </c>
      <c r="B115" s="77" t="s">
        <v>151</v>
      </c>
      <c r="C115" s="88" t="s">
        <v>145</v>
      </c>
      <c r="D115" s="11"/>
      <c r="E115" s="15"/>
      <c r="F115" s="35"/>
      <c r="G115" s="35"/>
      <c r="H115" s="53"/>
      <c r="I115" s="18"/>
      <c r="J115" s="19"/>
      <c r="K115" s="35"/>
      <c r="L115" s="36"/>
      <c r="M115" s="35"/>
    </row>
    <row r="116" spans="1:14" ht="20" customHeight="1" x14ac:dyDescent="0.35">
      <c r="A116" s="13">
        <v>56</v>
      </c>
      <c r="B116" s="77" t="s">
        <v>152</v>
      </c>
      <c r="C116" s="88" t="s">
        <v>148</v>
      </c>
      <c r="D116" s="12"/>
      <c r="E116" s="13"/>
      <c r="F116" s="1"/>
      <c r="G116" s="1"/>
      <c r="H116" s="1"/>
      <c r="I116" s="12"/>
      <c r="J116" s="13"/>
      <c r="K116" s="58" t="s">
        <v>149</v>
      </c>
      <c r="L116" s="39" t="s">
        <v>165</v>
      </c>
      <c r="M116" s="1"/>
    </row>
    <row r="117" spans="1:14" ht="20" customHeight="1" x14ac:dyDescent="0.35">
      <c r="A117" s="13">
        <v>56</v>
      </c>
      <c r="B117" s="77" t="s">
        <v>152</v>
      </c>
      <c r="C117" s="88" t="s">
        <v>147</v>
      </c>
      <c r="D117" s="12"/>
      <c r="E117" s="13"/>
      <c r="F117" s="1"/>
      <c r="G117" s="1"/>
      <c r="H117" s="1"/>
      <c r="I117" s="12"/>
      <c r="J117" s="13"/>
      <c r="K117" s="58"/>
      <c r="L117" s="39"/>
      <c r="M117" s="1"/>
    </row>
    <row r="118" spans="1:14" ht="20" customHeight="1" x14ac:dyDescent="0.35">
      <c r="A118" s="13">
        <v>57</v>
      </c>
      <c r="B118" s="77" t="s">
        <v>153</v>
      </c>
      <c r="C118" s="88" t="s">
        <v>154</v>
      </c>
      <c r="D118" s="12"/>
      <c r="E118" s="13"/>
      <c r="F118" s="1"/>
      <c r="G118" s="1"/>
      <c r="H118" s="1"/>
      <c r="I118" s="12"/>
      <c r="J118" s="13"/>
      <c r="K118" s="58" t="s">
        <v>144</v>
      </c>
      <c r="L118" s="39" t="s">
        <v>155</v>
      </c>
      <c r="M118" s="1"/>
    </row>
    <row r="119" spans="1:14" ht="20" customHeight="1" x14ac:dyDescent="0.35">
      <c r="A119" s="13">
        <v>57</v>
      </c>
      <c r="B119" s="77" t="s">
        <v>153</v>
      </c>
      <c r="C119" s="88" t="s">
        <v>150</v>
      </c>
      <c r="D119" s="12"/>
      <c r="E119" s="13"/>
      <c r="F119" s="1"/>
      <c r="G119" s="1"/>
      <c r="H119" s="1"/>
      <c r="I119" s="12"/>
      <c r="J119" s="13"/>
      <c r="K119" s="58"/>
      <c r="L119" s="39"/>
      <c r="M119" s="1"/>
    </row>
    <row r="120" spans="1:14" ht="20" customHeight="1" x14ac:dyDescent="0.35">
      <c r="A120" s="13">
        <v>57</v>
      </c>
      <c r="B120" s="77" t="s">
        <v>153</v>
      </c>
      <c r="C120" s="88" t="s">
        <v>143</v>
      </c>
      <c r="D120" s="12"/>
      <c r="E120" s="13"/>
      <c r="F120" s="1"/>
      <c r="G120" s="1"/>
      <c r="H120" s="1"/>
      <c r="I120" s="12"/>
      <c r="J120" s="13"/>
      <c r="K120" s="1"/>
      <c r="L120" s="39"/>
      <c r="M120" s="1"/>
    </row>
    <row r="121" spans="1:14" ht="20" customHeight="1" x14ac:dyDescent="0.35">
      <c r="A121" s="13">
        <v>58</v>
      </c>
      <c r="B121" s="80" t="s">
        <v>356</v>
      </c>
      <c r="C121" s="87" t="s">
        <v>278</v>
      </c>
      <c r="D121" s="11"/>
      <c r="E121" s="15"/>
      <c r="F121" s="35"/>
      <c r="G121" s="35"/>
      <c r="H121" s="53"/>
      <c r="I121" s="18"/>
      <c r="J121" s="19"/>
      <c r="K121" s="66" t="s">
        <v>269</v>
      </c>
      <c r="L121" s="36" t="s">
        <v>270</v>
      </c>
      <c r="M121" s="35"/>
    </row>
    <row r="122" spans="1:14" ht="20" customHeight="1" thickBot="1" x14ac:dyDescent="0.4">
      <c r="A122" s="13">
        <v>58</v>
      </c>
      <c r="B122" s="80" t="s">
        <v>356</v>
      </c>
      <c r="C122" s="87" t="s">
        <v>277</v>
      </c>
      <c r="D122" s="16"/>
      <c r="E122" s="14"/>
      <c r="F122" s="30"/>
      <c r="G122" s="30"/>
      <c r="H122" s="30"/>
      <c r="I122" s="10"/>
      <c r="J122" s="14"/>
      <c r="K122" s="30"/>
      <c r="L122" s="31"/>
      <c r="M122" s="30"/>
    </row>
    <row r="123" spans="1:14" ht="20" customHeight="1" x14ac:dyDescent="0.35">
      <c r="A123" s="13">
        <v>59</v>
      </c>
      <c r="B123" s="79" t="s">
        <v>343</v>
      </c>
      <c r="C123" s="88" t="s">
        <v>99</v>
      </c>
      <c r="D123" s="8">
        <v>1500</v>
      </c>
      <c r="E123" s="15">
        <f>D123*3</f>
        <v>4500</v>
      </c>
      <c r="F123" s="35">
        <f>E123*18%</f>
        <v>810</v>
      </c>
      <c r="G123" s="35">
        <f>E123+F123</f>
        <v>5310</v>
      </c>
      <c r="H123" s="53">
        <v>0</v>
      </c>
      <c r="I123" s="18">
        <v>5310</v>
      </c>
      <c r="J123" s="19">
        <f>G123-H123-I123</f>
        <v>0</v>
      </c>
      <c r="K123" s="69" t="s">
        <v>100</v>
      </c>
      <c r="L123" s="36" t="s">
        <v>107</v>
      </c>
      <c r="M123" s="59">
        <v>46066</v>
      </c>
      <c r="N123" s="2" t="s">
        <v>113</v>
      </c>
    </row>
    <row r="124" spans="1:14" ht="20" customHeight="1" x14ac:dyDescent="0.35">
      <c r="A124" s="13">
        <v>59</v>
      </c>
      <c r="B124" s="79" t="s">
        <v>343</v>
      </c>
      <c r="C124" s="88" t="s">
        <v>97</v>
      </c>
      <c r="D124" s="12"/>
      <c r="E124" s="13"/>
      <c r="F124" s="1"/>
      <c r="G124" s="1"/>
      <c r="H124" s="5"/>
      <c r="I124" s="16"/>
      <c r="J124" s="3"/>
      <c r="K124" s="50"/>
      <c r="L124" s="39"/>
      <c r="M124" s="60" t="s">
        <v>158</v>
      </c>
    </row>
    <row r="125" spans="1:14" ht="20" customHeight="1" x14ac:dyDescent="0.35">
      <c r="A125" s="13">
        <v>59</v>
      </c>
      <c r="B125" s="79" t="s">
        <v>343</v>
      </c>
      <c r="C125" s="88" t="s">
        <v>98</v>
      </c>
      <c r="D125" s="12"/>
      <c r="E125" s="13"/>
      <c r="F125" s="1"/>
      <c r="G125" s="1"/>
      <c r="H125" s="5"/>
      <c r="I125" s="16"/>
      <c r="J125" s="3"/>
      <c r="K125" s="50"/>
      <c r="L125" s="36"/>
      <c r="M125" s="40"/>
    </row>
    <row r="126" spans="1:14" ht="20" customHeight="1" x14ac:dyDescent="0.35">
      <c r="A126" s="13">
        <v>60</v>
      </c>
      <c r="B126" s="83" t="s">
        <v>354</v>
      </c>
      <c r="C126" s="87" t="s">
        <v>255</v>
      </c>
      <c r="D126" s="12"/>
      <c r="E126" s="13"/>
      <c r="F126" s="1"/>
      <c r="G126" s="1"/>
      <c r="H126" s="5"/>
      <c r="I126" s="16"/>
      <c r="J126" s="3"/>
      <c r="K126" s="50" t="s">
        <v>12</v>
      </c>
      <c r="L126" s="39" t="s">
        <v>63</v>
      </c>
      <c r="M126" s="40"/>
    </row>
    <row r="127" spans="1:14" ht="20" customHeight="1" x14ac:dyDescent="0.35">
      <c r="A127" s="13">
        <v>60</v>
      </c>
      <c r="B127" s="83" t="s">
        <v>354</v>
      </c>
      <c r="C127" s="87" t="s">
        <v>256</v>
      </c>
      <c r="D127" s="12"/>
      <c r="E127" s="13"/>
      <c r="F127" s="1"/>
      <c r="G127" s="1"/>
      <c r="H127" s="5"/>
      <c r="I127" s="16"/>
      <c r="J127" s="3"/>
      <c r="K127" s="50"/>
      <c r="L127" s="36"/>
      <c r="M127" s="40"/>
    </row>
    <row r="128" spans="1:14" ht="20" customHeight="1" x14ac:dyDescent="0.35">
      <c r="A128" s="13">
        <v>61</v>
      </c>
      <c r="B128" s="78" t="s">
        <v>127</v>
      </c>
      <c r="C128" s="88" t="s">
        <v>131</v>
      </c>
      <c r="D128" s="16"/>
      <c r="E128" s="3"/>
      <c r="F128" s="5"/>
      <c r="G128" s="5"/>
      <c r="H128" s="5"/>
      <c r="I128" s="16"/>
      <c r="J128" s="3"/>
      <c r="K128" s="5" t="s">
        <v>129</v>
      </c>
      <c r="L128" s="45" t="s">
        <v>130</v>
      </c>
      <c r="M128" s="5"/>
    </row>
    <row r="129" spans="1:14" ht="20" customHeight="1" thickBot="1" x14ac:dyDescent="0.4">
      <c r="A129" s="13">
        <v>61</v>
      </c>
      <c r="B129" s="78" t="s">
        <v>127</v>
      </c>
      <c r="C129" s="88" t="s">
        <v>128</v>
      </c>
      <c r="D129" s="10"/>
      <c r="E129" s="14"/>
      <c r="F129" s="30"/>
      <c r="G129" s="30"/>
      <c r="H129" s="30"/>
      <c r="I129" s="10"/>
      <c r="J129" s="14"/>
      <c r="K129" s="30"/>
      <c r="L129" s="31"/>
      <c r="M129" s="30"/>
    </row>
    <row r="130" spans="1:14" ht="20" customHeight="1" x14ac:dyDescent="0.35">
      <c r="A130" s="13">
        <v>62</v>
      </c>
      <c r="B130" s="80" t="s">
        <v>347</v>
      </c>
      <c r="C130" s="88" t="s">
        <v>224</v>
      </c>
      <c r="D130" s="8"/>
      <c r="E130" s="6"/>
      <c r="F130" s="9"/>
      <c r="G130" s="9"/>
      <c r="H130" s="51"/>
      <c r="I130" s="22"/>
      <c r="J130" s="17"/>
      <c r="K130" s="7" t="s">
        <v>225</v>
      </c>
      <c r="L130" s="29" t="s">
        <v>226</v>
      </c>
      <c r="M130" s="9"/>
    </row>
    <row r="131" spans="1:14" ht="20" customHeight="1" x14ac:dyDescent="0.35">
      <c r="A131" s="13">
        <v>62</v>
      </c>
      <c r="B131" s="80" t="s">
        <v>347</v>
      </c>
      <c r="C131" s="88" t="s">
        <v>223</v>
      </c>
      <c r="D131" s="12"/>
      <c r="E131" s="13"/>
      <c r="F131" s="1"/>
      <c r="G131" s="1"/>
      <c r="H131" s="5"/>
      <c r="I131" s="16"/>
      <c r="J131" s="3"/>
      <c r="K131" s="1"/>
      <c r="L131" s="39"/>
      <c r="M131" s="1"/>
    </row>
    <row r="132" spans="1:14" ht="20" customHeight="1" thickBot="1" x14ac:dyDescent="0.4">
      <c r="A132" s="13">
        <v>63</v>
      </c>
      <c r="B132" s="80" t="s">
        <v>192</v>
      </c>
      <c r="C132" s="87" t="s">
        <v>295</v>
      </c>
      <c r="D132" s="10">
        <v>3000</v>
      </c>
      <c r="E132" s="14">
        <f>D132*8</f>
        <v>24000</v>
      </c>
      <c r="F132" s="30">
        <f>E132*18%</f>
        <v>4320</v>
      </c>
      <c r="G132" s="30">
        <f>E132+F132</f>
        <v>28320</v>
      </c>
      <c r="H132" s="30"/>
      <c r="I132" s="10"/>
      <c r="J132" s="14"/>
      <c r="K132" s="30" t="s">
        <v>185</v>
      </c>
      <c r="L132" s="31" t="s">
        <v>186</v>
      </c>
      <c r="M132" s="30"/>
    </row>
    <row r="133" spans="1:14" ht="20" customHeight="1" x14ac:dyDescent="0.35">
      <c r="A133" s="13">
        <v>63</v>
      </c>
      <c r="B133" s="80" t="s">
        <v>192</v>
      </c>
      <c r="C133" s="87" t="s">
        <v>294</v>
      </c>
      <c r="D133" s="11"/>
      <c r="E133" s="15"/>
      <c r="F133" s="35"/>
      <c r="G133" s="35"/>
      <c r="H133" s="53"/>
      <c r="I133" s="18"/>
      <c r="J133" s="19"/>
      <c r="K133" s="35"/>
      <c r="L133" s="29"/>
      <c r="M133" s="35"/>
    </row>
    <row r="134" spans="1:14" ht="20" customHeight="1" x14ac:dyDescent="0.35">
      <c r="A134" s="13">
        <v>64</v>
      </c>
      <c r="B134" s="80" t="s">
        <v>192</v>
      </c>
      <c r="C134" s="87" t="s">
        <v>296</v>
      </c>
      <c r="D134" s="12"/>
      <c r="E134" s="13"/>
      <c r="F134" s="1"/>
      <c r="G134" s="1"/>
      <c r="H134" s="5"/>
      <c r="I134" s="16"/>
      <c r="J134" s="3"/>
      <c r="K134" s="1"/>
      <c r="L134" s="39"/>
      <c r="M134" s="1"/>
    </row>
    <row r="135" spans="1:14" ht="20" customHeight="1" x14ac:dyDescent="0.35">
      <c r="A135" s="13">
        <v>64</v>
      </c>
      <c r="B135" s="80" t="s">
        <v>192</v>
      </c>
      <c r="C135" s="87" t="s">
        <v>297</v>
      </c>
      <c r="D135" s="12"/>
      <c r="E135" s="13"/>
      <c r="F135" s="1"/>
      <c r="G135" s="1"/>
      <c r="H135" s="5"/>
      <c r="I135" s="16"/>
      <c r="J135" s="3"/>
      <c r="K135" s="1"/>
      <c r="L135" s="39"/>
      <c r="M135" s="1"/>
    </row>
    <row r="136" spans="1:14" ht="20" customHeight="1" x14ac:dyDescent="0.35">
      <c r="A136" s="13">
        <v>65</v>
      </c>
      <c r="B136" s="80" t="s">
        <v>192</v>
      </c>
      <c r="C136" s="87" t="s">
        <v>298</v>
      </c>
      <c r="D136" s="12"/>
      <c r="E136" s="13"/>
      <c r="F136" s="1"/>
      <c r="G136" s="1"/>
      <c r="H136" s="5"/>
      <c r="I136" s="16"/>
      <c r="J136" s="3"/>
      <c r="K136" s="1"/>
      <c r="L136" s="39"/>
      <c r="M136" s="1"/>
      <c r="N136" s="66"/>
    </row>
    <row r="137" spans="1:14" ht="20" customHeight="1" x14ac:dyDescent="0.35">
      <c r="A137" s="13">
        <v>65</v>
      </c>
      <c r="B137" s="80" t="s">
        <v>192</v>
      </c>
      <c r="C137" s="87" t="s">
        <v>299</v>
      </c>
      <c r="D137" s="12"/>
      <c r="E137" s="13"/>
      <c r="F137" s="1"/>
      <c r="G137" s="1"/>
      <c r="H137" s="5"/>
      <c r="I137" s="16"/>
      <c r="J137" s="3"/>
      <c r="K137" s="1"/>
      <c r="L137" s="39"/>
      <c r="M137" s="1"/>
      <c r="N137" s="66"/>
    </row>
    <row r="138" spans="1:14" ht="20" customHeight="1" thickBot="1" x14ac:dyDescent="0.4">
      <c r="A138" s="13">
        <v>66</v>
      </c>
      <c r="B138" s="80" t="s">
        <v>192</v>
      </c>
      <c r="C138" s="87" t="s">
        <v>302</v>
      </c>
      <c r="D138" s="16"/>
      <c r="E138" s="3"/>
      <c r="F138" s="5"/>
      <c r="G138" s="5"/>
      <c r="H138" s="5"/>
      <c r="I138" s="16"/>
      <c r="J138" s="3"/>
      <c r="K138" s="5"/>
      <c r="L138" s="45"/>
      <c r="M138" s="5"/>
      <c r="N138" s="66"/>
    </row>
    <row r="139" spans="1:14" ht="20" customHeight="1" x14ac:dyDescent="0.35">
      <c r="A139" s="13">
        <v>66</v>
      </c>
      <c r="B139" s="80" t="s">
        <v>192</v>
      </c>
      <c r="C139" s="87" t="s">
        <v>301</v>
      </c>
      <c r="D139" s="8"/>
      <c r="E139" s="6"/>
      <c r="F139" s="9"/>
      <c r="G139" s="9"/>
      <c r="H139" s="9"/>
      <c r="I139" s="8"/>
      <c r="J139" s="6"/>
      <c r="K139" s="9"/>
      <c r="L139" s="36"/>
      <c r="M139" s="9"/>
      <c r="N139" s="66"/>
    </row>
    <row r="140" spans="1:14" ht="20" customHeight="1" x14ac:dyDescent="0.35">
      <c r="A140" s="13">
        <v>67</v>
      </c>
      <c r="B140" s="80" t="s">
        <v>192</v>
      </c>
      <c r="C140" s="87" t="s">
        <v>304</v>
      </c>
      <c r="D140" s="16"/>
      <c r="E140" s="3"/>
      <c r="F140" s="5"/>
      <c r="G140" s="5"/>
      <c r="H140" s="5"/>
      <c r="I140" s="16"/>
      <c r="J140" s="3"/>
      <c r="K140" s="5"/>
      <c r="L140" s="45"/>
      <c r="M140" s="5"/>
      <c r="N140" s="66"/>
    </row>
    <row r="141" spans="1:14" ht="20" customHeight="1" x14ac:dyDescent="0.35">
      <c r="A141" s="13">
        <v>67</v>
      </c>
      <c r="B141" s="80" t="s">
        <v>192</v>
      </c>
      <c r="C141" s="87" t="s">
        <v>303</v>
      </c>
      <c r="D141" s="16"/>
      <c r="E141" s="3"/>
      <c r="F141" s="5"/>
      <c r="G141" s="5"/>
      <c r="H141" s="5"/>
      <c r="I141" s="16"/>
      <c r="J141" s="3"/>
      <c r="K141" s="5"/>
      <c r="L141" s="45"/>
      <c r="M141" s="5"/>
      <c r="N141" s="66"/>
    </row>
    <row r="142" spans="1:14" ht="20" customHeight="1" x14ac:dyDescent="0.35">
      <c r="A142" s="13">
        <v>68</v>
      </c>
      <c r="B142" s="80" t="s">
        <v>192</v>
      </c>
      <c r="C142" s="87" t="s">
        <v>309</v>
      </c>
      <c r="D142" s="16"/>
      <c r="E142" s="3"/>
      <c r="F142" s="5"/>
      <c r="G142" s="5"/>
      <c r="H142" s="5"/>
      <c r="I142" s="16"/>
      <c r="J142" s="3"/>
      <c r="K142" s="5"/>
      <c r="L142" s="45"/>
      <c r="M142" s="5"/>
      <c r="N142" s="66"/>
    </row>
    <row r="143" spans="1:14" ht="20" customHeight="1" x14ac:dyDescent="0.35">
      <c r="A143" s="13">
        <v>68</v>
      </c>
      <c r="B143" s="80" t="s">
        <v>192</v>
      </c>
      <c r="C143" s="87" t="s">
        <v>305</v>
      </c>
      <c r="D143" s="16"/>
      <c r="E143" s="3"/>
      <c r="F143" s="5"/>
      <c r="G143" s="5"/>
      <c r="H143" s="5"/>
      <c r="I143" s="16"/>
      <c r="J143" s="3"/>
      <c r="K143" s="5"/>
      <c r="L143" s="45"/>
      <c r="M143" s="5"/>
      <c r="N143" s="66"/>
    </row>
    <row r="144" spans="1:14" ht="20" customHeight="1" x14ac:dyDescent="0.35">
      <c r="A144" s="13">
        <v>69</v>
      </c>
      <c r="B144" s="80" t="s">
        <v>192</v>
      </c>
      <c r="C144" s="87" t="s">
        <v>311</v>
      </c>
      <c r="D144" s="16"/>
      <c r="E144" s="3"/>
      <c r="F144" s="5"/>
      <c r="G144" s="5"/>
      <c r="H144" s="5"/>
      <c r="I144" s="16"/>
      <c r="J144" s="3"/>
      <c r="K144" s="5"/>
      <c r="L144" s="45"/>
      <c r="M144" s="5"/>
      <c r="N144" s="66"/>
    </row>
    <row r="145" spans="1:14" ht="20" customHeight="1" x14ac:dyDescent="0.35">
      <c r="A145" s="13">
        <v>69</v>
      </c>
      <c r="B145" s="80" t="s">
        <v>192</v>
      </c>
      <c r="C145" s="87" t="s">
        <v>300</v>
      </c>
      <c r="D145" s="16"/>
      <c r="E145" s="3"/>
      <c r="F145" s="5"/>
      <c r="G145" s="5"/>
      <c r="H145" s="5"/>
      <c r="I145" s="16"/>
      <c r="J145" s="3"/>
      <c r="K145" s="5"/>
      <c r="L145" s="45"/>
      <c r="M145" s="5"/>
      <c r="N145" s="66"/>
    </row>
    <row r="146" spans="1:14" ht="20" customHeight="1" x14ac:dyDescent="0.35">
      <c r="A146" s="13">
        <v>70</v>
      </c>
      <c r="B146" s="80" t="s">
        <v>192</v>
      </c>
      <c r="C146" s="87" t="s">
        <v>312</v>
      </c>
      <c r="D146" s="16"/>
      <c r="E146" s="3"/>
      <c r="F146" s="5"/>
      <c r="G146" s="5"/>
      <c r="H146" s="5"/>
      <c r="I146" s="16"/>
      <c r="J146" s="3"/>
      <c r="K146" s="5"/>
      <c r="L146" s="45"/>
      <c r="M146" s="5"/>
      <c r="N146" s="66"/>
    </row>
    <row r="147" spans="1:14" ht="20" customHeight="1" x14ac:dyDescent="0.35">
      <c r="A147" s="13">
        <v>70</v>
      </c>
      <c r="B147" s="80" t="s">
        <v>192</v>
      </c>
      <c r="C147" s="87" t="s">
        <v>310</v>
      </c>
      <c r="D147" s="16"/>
      <c r="E147" s="3"/>
      <c r="F147" s="5"/>
      <c r="G147" s="5"/>
      <c r="H147" s="5"/>
      <c r="I147" s="16"/>
      <c r="J147" s="3"/>
      <c r="K147" s="5"/>
      <c r="L147" s="45"/>
      <c r="M147" s="5"/>
      <c r="N147" s="66"/>
    </row>
    <row r="148" spans="1:14" ht="20" customHeight="1" thickBot="1" x14ac:dyDescent="0.4">
      <c r="A148" s="13">
        <v>71</v>
      </c>
      <c r="B148" s="80" t="s">
        <v>192</v>
      </c>
      <c r="C148" s="87" t="s">
        <v>314</v>
      </c>
      <c r="D148" s="16"/>
      <c r="E148" s="3"/>
      <c r="F148" s="5"/>
      <c r="G148" s="5"/>
      <c r="H148" s="5"/>
      <c r="I148" s="16"/>
      <c r="J148" s="3"/>
      <c r="K148" s="5"/>
      <c r="L148" s="45"/>
      <c r="M148" s="5"/>
      <c r="N148" s="66"/>
    </row>
    <row r="149" spans="1:14" ht="20" customHeight="1" x14ac:dyDescent="0.35">
      <c r="A149" s="13">
        <v>71</v>
      </c>
      <c r="B149" s="80" t="s">
        <v>192</v>
      </c>
      <c r="C149" s="87" t="s">
        <v>313</v>
      </c>
      <c r="D149" s="22"/>
      <c r="E149" s="17"/>
      <c r="F149" s="51"/>
      <c r="G149" s="51"/>
      <c r="H149" s="51"/>
      <c r="I149" s="22"/>
      <c r="J149" s="17"/>
      <c r="K149" s="9"/>
      <c r="L149" s="36"/>
      <c r="M149" s="51"/>
      <c r="N149" s="66"/>
    </row>
    <row r="150" spans="1:14" ht="20" customHeight="1" x14ac:dyDescent="0.35">
      <c r="A150" s="13">
        <v>72</v>
      </c>
      <c r="B150" s="80" t="s">
        <v>192</v>
      </c>
      <c r="C150" s="87" t="s">
        <v>308</v>
      </c>
      <c r="D150" s="16"/>
      <c r="E150" s="3"/>
      <c r="F150" s="5"/>
      <c r="G150" s="5"/>
      <c r="H150" s="5"/>
      <c r="I150" s="16"/>
      <c r="J150" s="3"/>
      <c r="K150" s="5"/>
      <c r="L150" s="45"/>
      <c r="M150" s="5"/>
      <c r="N150" s="66"/>
    </row>
    <row r="151" spans="1:14" ht="20" customHeight="1" x14ac:dyDescent="0.35">
      <c r="A151" s="13">
        <v>72</v>
      </c>
      <c r="B151" s="80" t="s">
        <v>192</v>
      </c>
      <c r="C151" s="87" t="s">
        <v>315</v>
      </c>
      <c r="D151" s="16"/>
      <c r="E151" s="3"/>
      <c r="F151" s="5"/>
      <c r="G151" s="5"/>
      <c r="H151" s="5"/>
      <c r="I151" s="16"/>
      <c r="J151" s="3"/>
      <c r="K151" s="5"/>
      <c r="L151" s="45"/>
      <c r="M151" s="5"/>
      <c r="N151" s="66"/>
    </row>
    <row r="152" spans="1:14" ht="20" customHeight="1" thickBot="1" x14ac:dyDescent="0.4">
      <c r="A152" s="13">
        <v>73</v>
      </c>
      <c r="B152" s="80" t="s">
        <v>192</v>
      </c>
      <c r="C152" s="87" t="s">
        <v>307</v>
      </c>
      <c r="D152" s="10"/>
      <c r="E152" s="14"/>
      <c r="F152" s="30"/>
      <c r="G152" s="30"/>
      <c r="H152" s="30"/>
      <c r="I152" s="10"/>
      <c r="J152" s="14"/>
      <c r="K152" s="30"/>
      <c r="L152" s="31"/>
      <c r="M152" s="30"/>
      <c r="N152" s="66"/>
    </row>
    <row r="153" spans="1:14" ht="20" customHeight="1" x14ac:dyDescent="0.35">
      <c r="A153" s="13">
        <v>73</v>
      </c>
      <c r="B153" s="80" t="s">
        <v>192</v>
      </c>
      <c r="C153" s="87" t="s">
        <v>306</v>
      </c>
      <c r="D153" s="18"/>
      <c r="E153" s="19"/>
      <c r="F153" s="53"/>
      <c r="G153" s="53"/>
      <c r="H153" s="53"/>
      <c r="I153" s="18"/>
      <c r="J153" s="19"/>
      <c r="K153" s="9"/>
      <c r="L153" s="36"/>
      <c r="M153" s="53"/>
      <c r="N153" s="66"/>
    </row>
    <row r="154" spans="1:14" ht="20" customHeight="1" x14ac:dyDescent="0.35">
      <c r="A154" s="13">
        <v>74</v>
      </c>
      <c r="B154" s="80" t="s">
        <v>192</v>
      </c>
      <c r="C154" s="87" t="s">
        <v>317</v>
      </c>
      <c r="D154" s="16"/>
      <c r="E154" s="3"/>
      <c r="F154" s="5"/>
      <c r="G154" s="5"/>
      <c r="H154" s="5"/>
      <c r="I154" s="16"/>
      <c r="J154" s="3"/>
      <c r="K154" s="5"/>
      <c r="L154" s="45"/>
      <c r="M154" s="5"/>
      <c r="N154" s="66"/>
    </row>
    <row r="155" spans="1:14" ht="20" customHeight="1" x14ac:dyDescent="0.35">
      <c r="A155" s="13">
        <v>74</v>
      </c>
      <c r="B155" s="80" t="s">
        <v>192</v>
      </c>
      <c r="C155" s="87" t="s">
        <v>316</v>
      </c>
      <c r="D155" s="16"/>
      <c r="E155" s="3"/>
      <c r="F155" s="5"/>
      <c r="G155" s="5"/>
      <c r="H155" s="5"/>
      <c r="I155" s="16"/>
      <c r="J155" s="3"/>
      <c r="K155" s="5"/>
      <c r="L155" s="45"/>
      <c r="M155" s="5"/>
      <c r="N155" s="66"/>
    </row>
    <row r="156" spans="1:14" ht="20" customHeight="1" x14ac:dyDescent="0.35">
      <c r="A156" s="13">
        <v>75</v>
      </c>
      <c r="B156" s="80" t="s">
        <v>192</v>
      </c>
      <c r="C156" s="87" t="s">
        <v>318</v>
      </c>
      <c r="D156" s="16"/>
      <c r="E156" s="3"/>
      <c r="F156" s="5"/>
      <c r="G156" s="5"/>
      <c r="H156" s="5"/>
      <c r="I156" s="16"/>
      <c r="J156" s="3"/>
      <c r="K156" s="5"/>
      <c r="L156" s="45"/>
      <c r="M156" s="5"/>
      <c r="N156" s="66"/>
    </row>
    <row r="157" spans="1:14" ht="20" customHeight="1" x14ac:dyDescent="0.35">
      <c r="A157" s="13">
        <v>75</v>
      </c>
      <c r="B157" s="80" t="s">
        <v>192</v>
      </c>
      <c r="C157" s="87" t="s">
        <v>319</v>
      </c>
      <c r="D157" s="16"/>
      <c r="E157" s="3"/>
      <c r="F157" s="5"/>
      <c r="G157" s="5"/>
      <c r="H157" s="5"/>
      <c r="I157" s="16"/>
      <c r="J157" s="3"/>
      <c r="K157" s="5"/>
      <c r="L157" s="45"/>
      <c r="M157" s="5"/>
      <c r="N157" s="66"/>
    </row>
    <row r="158" spans="1:14" ht="20" customHeight="1" thickBot="1" x14ac:dyDescent="0.4">
      <c r="A158" s="13">
        <v>76</v>
      </c>
      <c r="B158" s="80" t="s">
        <v>192</v>
      </c>
      <c r="C158" s="87" t="s">
        <v>320</v>
      </c>
      <c r="D158" s="10"/>
      <c r="E158" s="14"/>
      <c r="F158" s="30"/>
      <c r="G158" s="30"/>
      <c r="H158" s="30"/>
      <c r="I158" s="10"/>
      <c r="J158" s="14"/>
      <c r="K158" s="30"/>
      <c r="L158" s="31"/>
      <c r="M158" s="30"/>
      <c r="N158" s="66"/>
    </row>
    <row r="159" spans="1:14" ht="20" customHeight="1" x14ac:dyDescent="0.35">
      <c r="A159" s="13">
        <v>76</v>
      </c>
      <c r="B159" s="80" t="s">
        <v>192</v>
      </c>
      <c r="C159" s="87" t="s">
        <v>322</v>
      </c>
      <c r="D159" s="18"/>
      <c r="E159" s="19"/>
      <c r="F159" s="53"/>
      <c r="G159" s="53"/>
      <c r="H159" s="53"/>
      <c r="I159" s="18"/>
      <c r="J159" s="19"/>
      <c r="K159" s="53"/>
      <c r="L159" s="29"/>
      <c r="M159" s="53"/>
      <c r="N159" s="66"/>
    </row>
    <row r="160" spans="1:14" ht="20" customHeight="1" x14ac:dyDescent="0.35">
      <c r="A160" s="13">
        <v>76</v>
      </c>
      <c r="B160" s="80" t="s">
        <v>192</v>
      </c>
      <c r="C160" s="87" t="s">
        <v>321</v>
      </c>
      <c r="D160" s="16"/>
      <c r="E160" s="3"/>
      <c r="F160" s="5"/>
      <c r="G160" s="5"/>
      <c r="H160" s="5"/>
      <c r="I160" s="16"/>
      <c r="J160" s="3"/>
      <c r="K160" s="5"/>
      <c r="L160" s="45"/>
      <c r="M160" s="5"/>
      <c r="N160" s="66"/>
    </row>
    <row r="161" spans="1:13" ht="20" customHeight="1" x14ac:dyDescent="0.35">
      <c r="A161" s="38">
        <v>77</v>
      </c>
      <c r="B161" s="77" t="s">
        <v>51</v>
      </c>
      <c r="C161" s="87" t="s">
        <v>361</v>
      </c>
      <c r="D161" s="16">
        <v>3000</v>
      </c>
      <c r="E161" s="3">
        <f>D161*4</f>
        <v>12000</v>
      </c>
      <c r="F161" s="5">
        <f>E161*18%</f>
        <v>2160</v>
      </c>
      <c r="G161" s="5">
        <v>7080</v>
      </c>
      <c r="H161" s="5"/>
      <c r="I161" s="16"/>
      <c r="J161" s="3"/>
      <c r="K161" s="44" t="s">
        <v>10</v>
      </c>
      <c r="L161" s="45" t="s">
        <v>31</v>
      </c>
      <c r="M161" s="46"/>
    </row>
    <row r="162" spans="1:13" ht="20" customHeight="1" x14ac:dyDescent="0.35">
      <c r="A162" s="38">
        <v>77</v>
      </c>
      <c r="B162" s="77" t="s">
        <v>51</v>
      </c>
      <c r="C162" s="87" t="s">
        <v>73</v>
      </c>
      <c r="D162" s="16"/>
      <c r="E162" s="3"/>
      <c r="F162" s="5"/>
      <c r="G162" s="5"/>
      <c r="H162" s="5"/>
      <c r="I162" s="16"/>
      <c r="J162" s="3"/>
      <c r="K162" s="44"/>
      <c r="L162" s="45"/>
      <c r="M162" s="46"/>
    </row>
    <row r="163" spans="1:13" s="1" customFormat="1" ht="20" customHeight="1" x14ac:dyDescent="0.35">
      <c r="A163" s="38">
        <v>78</v>
      </c>
      <c r="B163" s="77" t="s">
        <v>51</v>
      </c>
      <c r="C163" s="87" t="s">
        <v>74</v>
      </c>
      <c r="D163" s="12"/>
      <c r="E163" s="13"/>
      <c r="I163" s="12"/>
      <c r="J163" s="13"/>
      <c r="K163" s="41"/>
      <c r="L163" s="39"/>
      <c r="M163" s="40"/>
    </row>
    <row r="164" spans="1:13" s="1" customFormat="1" ht="20" customHeight="1" x14ac:dyDescent="0.35">
      <c r="A164" s="38">
        <v>78</v>
      </c>
      <c r="B164" s="77" t="s">
        <v>51</v>
      </c>
      <c r="C164" s="87" t="s">
        <v>75</v>
      </c>
      <c r="D164" s="12"/>
      <c r="E164" s="13"/>
      <c r="I164" s="12"/>
      <c r="J164" s="13"/>
      <c r="K164" s="41"/>
      <c r="L164" s="39"/>
      <c r="M164" s="40"/>
    </row>
    <row r="165" spans="1:13" s="1" customFormat="1" ht="20" customHeight="1" x14ac:dyDescent="0.35">
      <c r="A165" s="13">
        <v>79</v>
      </c>
      <c r="B165" s="77" t="s">
        <v>52</v>
      </c>
      <c r="C165" s="87" t="s">
        <v>76</v>
      </c>
      <c r="D165" s="12">
        <v>3000</v>
      </c>
      <c r="E165" s="13">
        <f>D165*4</f>
        <v>12000</v>
      </c>
      <c r="F165" s="1">
        <f>E165*18%</f>
        <v>2160</v>
      </c>
      <c r="G165" s="1">
        <v>7080</v>
      </c>
      <c r="I165" s="12"/>
      <c r="J165" s="13"/>
      <c r="K165" s="41" t="s">
        <v>10</v>
      </c>
      <c r="L165" s="39" t="s">
        <v>22</v>
      </c>
      <c r="M165" s="40"/>
    </row>
    <row r="166" spans="1:13" s="1" customFormat="1" ht="20" customHeight="1" x14ac:dyDescent="0.35">
      <c r="A166" s="13">
        <v>79</v>
      </c>
      <c r="B166" s="77" t="s">
        <v>52</v>
      </c>
      <c r="C166" s="87" t="s">
        <v>77</v>
      </c>
      <c r="D166" s="12"/>
      <c r="E166" s="13"/>
      <c r="I166" s="12"/>
      <c r="J166" s="13"/>
      <c r="K166" s="41"/>
      <c r="L166" s="39"/>
      <c r="M166" s="40"/>
    </row>
    <row r="167" spans="1:13" s="1" customFormat="1" ht="20" customHeight="1" x14ac:dyDescent="0.35">
      <c r="A167" s="13">
        <v>80</v>
      </c>
      <c r="B167" s="77" t="s">
        <v>52</v>
      </c>
      <c r="C167" s="87" t="s">
        <v>79</v>
      </c>
      <c r="D167" s="12"/>
      <c r="E167" s="13"/>
      <c r="I167" s="12"/>
      <c r="J167" s="13"/>
      <c r="K167" s="41"/>
      <c r="L167" s="39"/>
      <c r="M167" s="40"/>
    </row>
    <row r="168" spans="1:13" s="1" customFormat="1" ht="20" customHeight="1" x14ac:dyDescent="0.35">
      <c r="A168" s="13">
        <v>80</v>
      </c>
      <c r="B168" s="77" t="s">
        <v>52</v>
      </c>
      <c r="C168" s="87" t="s">
        <v>78</v>
      </c>
      <c r="D168" s="12"/>
      <c r="E168" s="13"/>
      <c r="I168" s="12"/>
      <c r="J168" s="13"/>
      <c r="K168" s="41"/>
      <c r="L168" s="39"/>
      <c r="M168" s="40"/>
    </row>
    <row r="169" spans="1:13" s="1" customFormat="1" ht="20" customHeight="1" x14ac:dyDescent="0.35">
      <c r="A169" s="13">
        <v>81</v>
      </c>
      <c r="B169" s="77" t="s">
        <v>350</v>
      </c>
      <c r="C169" s="89" t="s">
        <v>89</v>
      </c>
      <c r="D169" s="12">
        <v>3000</v>
      </c>
      <c r="E169" s="13">
        <f>D169*1.5</f>
        <v>4500</v>
      </c>
      <c r="F169" s="1">
        <f>E169*18%</f>
        <v>810</v>
      </c>
      <c r="G169" s="1">
        <f>E169+F169</f>
        <v>5310</v>
      </c>
      <c r="I169" s="12"/>
      <c r="J169" s="13"/>
      <c r="K169" s="50" t="s">
        <v>9</v>
      </c>
      <c r="L169" s="39" t="s">
        <v>34</v>
      </c>
      <c r="M169" s="40"/>
    </row>
    <row r="170" spans="1:13" s="1" customFormat="1" ht="20" customHeight="1" x14ac:dyDescent="0.35">
      <c r="A170" s="13">
        <v>81</v>
      </c>
      <c r="B170" s="77" t="s">
        <v>350</v>
      </c>
      <c r="C170" s="89" t="s">
        <v>91</v>
      </c>
      <c r="D170" s="12"/>
      <c r="E170" s="13"/>
      <c r="I170" s="12"/>
      <c r="J170" s="13"/>
      <c r="K170" s="50"/>
      <c r="L170" s="39"/>
      <c r="M170" s="40"/>
    </row>
    <row r="171" spans="1:13" s="1" customFormat="1" ht="20" customHeight="1" x14ac:dyDescent="0.35">
      <c r="A171" s="13">
        <v>81</v>
      </c>
      <c r="B171" s="77" t="s">
        <v>350</v>
      </c>
      <c r="C171" s="89" t="s">
        <v>90</v>
      </c>
      <c r="D171" s="12"/>
      <c r="E171" s="13"/>
      <c r="I171" s="12"/>
      <c r="J171" s="13"/>
      <c r="K171" s="50"/>
      <c r="L171" s="39"/>
      <c r="M171" s="40"/>
    </row>
    <row r="172" spans="1:13" s="1" customFormat="1" ht="20" customHeight="1" x14ac:dyDescent="0.35">
      <c r="A172" s="13">
        <v>82</v>
      </c>
      <c r="B172" s="80" t="s">
        <v>188</v>
      </c>
      <c r="C172" s="88" t="s">
        <v>324</v>
      </c>
      <c r="D172" s="12">
        <v>3000</v>
      </c>
      <c r="E172" s="13">
        <f>D172*2+1500</f>
        <v>7500</v>
      </c>
      <c r="F172" s="1">
        <f>E172*18%</f>
        <v>1350</v>
      </c>
      <c r="G172" s="1">
        <f>E172+F172</f>
        <v>8850</v>
      </c>
      <c r="I172" s="12"/>
      <c r="J172" s="13"/>
      <c r="K172" s="1" t="s">
        <v>187</v>
      </c>
      <c r="L172" s="39" t="s">
        <v>190</v>
      </c>
    </row>
    <row r="173" spans="1:13" s="1" customFormat="1" ht="20" customHeight="1" x14ac:dyDescent="0.35">
      <c r="A173" s="13">
        <v>82</v>
      </c>
      <c r="B173" s="80" t="s">
        <v>188</v>
      </c>
      <c r="C173" s="88" t="s">
        <v>323</v>
      </c>
      <c r="D173" s="12"/>
      <c r="E173" s="13"/>
      <c r="I173" s="12"/>
      <c r="J173" s="13"/>
      <c r="L173" s="39"/>
    </row>
    <row r="174" spans="1:13" s="1" customFormat="1" ht="20" customHeight="1" x14ac:dyDescent="0.35">
      <c r="A174" s="13">
        <v>83</v>
      </c>
      <c r="B174" s="80" t="s">
        <v>188</v>
      </c>
      <c r="C174" s="88" t="s">
        <v>327</v>
      </c>
      <c r="D174" s="12"/>
      <c r="E174" s="13"/>
      <c r="I174" s="12"/>
      <c r="J174" s="13"/>
      <c r="L174" s="39"/>
    </row>
    <row r="175" spans="1:13" s="1" customFormat="1" ht="20" customHeight="1" x14ac:dyDescent="0.35">
      <c r="A175" s="13">
        <v>83</v>
      </c>
      <c r="B175" s="80" t="s">
        <v>188</v>
      </c>
      <c r="C175" s="88" t="s">
        <v>325</v>
      </c>
      <c r="D175" s="12"/>
      <c r="E175" s="13"/>
      <c r="I175" s="12"/>
      <c r="J175" s="13"/>
      <c r="L175" s="39"/>
    </row>
    <row r="176" spans="1:13" s="1" customFormat="1" ht="20" customHeight="1" x14ac:dyDescent="0.35">
      <c r="A176" s="13">
        <v>83</v>
      </c>
      <c r="B176" s="80" t="s">
        <v>188</v>
      </c>
      <c r="C176" s="88" t="s">
        <v>326</v>
      </c>
      <c r="D176" s="12"/>
      <c r="E176" s="13"/>
      <c r="I176" s="12"/>
      <c r="J176" s="13"/>
      <c r="L176" s="39"/>
    </row>
    <row r="177" spans="1:14" s="1" customFormat="1" ht="20" customHeight="1" x14ac:dyDescent="0.35">
      <c r="A177" s="13">
        <v>84</v>
      </c>
      <c r="B177" s="80" t="s">
        <v>126</v>
      </c>
      <c r="C177" s="88" t="s">
        <v>124</v>
      </c>
      <c r="D177" s="12"/>
      <c r="E177" s="13"/>
      <c r="I177" s="12"/>
      <c r="J177" s="13"/>
      <c r="K177" s="1" t="s">
        <v>122</v>
      </c>
      <c r="L177" s="39" t="s">
        <v>125</v>
      </c>
    </row>
    <row r="178" spans="1:14" s="1" customFormat="1" ht="20" customHeight="1" x14ac:dyDescent="0.35">
      <c r="A178" s="13">
        <v>84</v>
      </c>
      <c r="B178" s="80" t="s">
        <v>126</v>
      </c>
      <c r="C178" s="88" t="s">
        <v>123</v>
      </c>
      <c r="D178" s="12"/>
      <c r="E178" s="13"/>
      <c r="I178" s="12"/>
      <c r="J178" s="13"/>
      <c r="L178" s="39"/>
    </row>
    <row r="179" spans="1:14" s="1" customFormat="1" ht="20" customHeight="1" x14ac:dyDescent="0.35">
      <c r="A179" s="13">
        <v>85</v>
      </c>
      <c r="B179" s="80" t="s">
        <v>126</v>
      </c>
      <c r="C179" s="88" t="s">
        <v>140</v>
      </c>
      <c r="D179" s="12"/>
      <c r="E179" s="13"/>
      <c r="I179" s="12"/>
      <c r="J179" s="13"/>
      <c r="L179" s="39"/>
    </row>
    <row r="180" spans="1:14" s="1" customFormat="1" ht="20" customHeight="1" x14ac:dyDescent="0.35">
      <c r="A180" s="13">
        <v>85</v>
      </c>
      <c r="B180" s="80" t="s">
        <v>126</v>
      </c>
      <c r="C180" s="88" t="s">
        <v>139</v>
      </c>
    </row>
    <row r="181" spans="1:14" s="1" customFormat="1" ht="20" customHeight="1" x14ac:dyDescent="0.35">
      <c r="A181" s="13">
        <v>86</v>
      </c>
      <c r="B181" s="80" t="s">
        <v>126</v>
      </c>
      <c r="C181" s="88" t="s">
        <v>142</v>
      </c>
      <c r="D181" s="12"/>
      <c r="E181" s="13"/>
      <c r="I181" s="12"/>
      <c r="J181" s="13"/>
      <c r="L181" s="39"/>
    </row>
    <row r="182" spans="1:14" s="1" customFormat="1" ht="20" customHeight="1" x14ac:dyDescent="0.35">
      <c r="A182" s="13">
        <v>86</v>
      </c>
      <c r="B182" s="80" t="s">
        <v>126</v>
      </c>
      <c r="C182" s="88" t="s">
        <v>141</v>
      </c>
      <c r="D182" s="12"/>
      <c r="E182" s="13"/>
      <c r="I182" s="12"/>
      <c r="J182" s="13"/>
      <c r="L182" s="39"/>
    </row>
    <row r="183" spans="1:14" s="1" customFormat="1" ht="20" customHeight="1" x14ac:dyDescent="0.35">
      <c r="A183" s="13">
        <v>87</v>
      </c>
      <c r="B183" s="80" t="s">
        <v>355</v>
      </c>
      <c r="C183" s="87" t="s">
        <v>62</v>
      </c>
      <c r="D183" s="12"/>
      <c r="E183" s="13"/>
      <c r="I183" s="12"/>
      <c r="J183" s="13"/>
      <c r="K183" s="50"/>
      <c r="L183" s="39"/>
      <c r="M183" s="40"/>
    </row>
    <row r="184" spans="1:14" s="1" customFormat="1" ht="20" customHeight="1" x14ac:dyDescent="0.35">
      <c r="A184" s="13">
        <v>87</v>
      </c>
      <c r="B184" s="80" t="s">
        <v>342</v>
      </c>
      <c r="C184" s="87" t="s">
        <v>88</v>
      </c>
      <c r="D184" s="16"/>
      <c r="E184" s="3"/>
      <c r="F184" s="5"/>
      <c r="G184" s="5"/>
      <c r="H184" s="5"/>
      <c r="I184" s="16"/>
      <c r="J184" s="3"/>
      <c r="K184" s="28" t="s">
        <v>67</v>
      </c>
      <c r="L184" s="45" t="s">
        <v>70</v>
      </c>
      <c r="M184" s="46"/>
      <c r="N184" s="5"/>
    </row>
    <row r="185" spans="1:14" s="1" customFormat="1" ht="20" customHeight="1" x14ac:dyDescent="0.35">
      <c r="A185" s="13">
        <v>88</v>
      </c>
      <c r="B185" s="80" t="s">
        <v>342</v>
      </c>
      <c r="C185" s="87" t="s">
        <v>58</v>
      </c>
      <c r="D185" s="12"/>
      <c r="E185" s="13"/>
      <c r="I185" s="12"/>
      <c r="J185" s="13"/>
      <c r="K185" s="50"/>
      <c r="L185" s="39"/>
      <c r="M185" s="40"/>
    </row>
    <row r="186" spans="1:14" s="1" customFormat="1" ht="20" customHeight="1" x14ac:dyDescent="0.35">
      <c r="A186" s="13">
        <v>88</v>
      </c>
      <c r="B186" s="80" t="s">
        <v>342</v>
      </c>
      <c r="C186" s="87" t="s">
        <v>59</v>
      </c>
      <c r="D186" s="12"/>
      <c r="E186" s="13"/>
      <c r="I186" s="12"/>
      <c r="J186" s="13"/>
      <c r="K186" s="50"/>
      <c r="L186" s="39"/>
      <c r="M186" s="40"/>
    </row>
    <row r="187" spans="1:14" s="1" customFormat="1" ht="20" customHeight="1" thickBot="1" x14ac:dyDescent="0.4">
      <c r="A187" s="13">
        <v>89</v>
      </c>
      <c r="B187" s="80" t="s">
        <v>342</v>
      </c>
      <c r="C187" s="87" t="s">
        <v>60</v>
      </c>
      <c r="D187" s="16"/>
      <c r="E187" s="3"/>
      <c r="F187" s="5"/>
      <c r="G187" s="5"/>
      <c r="H187" s="5"/>
      <c r="I187" s="16"/>
      <c r="J187" s="3"/>
      <c r="K187" s="28"/>
      <c r="L187" s="45"/>
      <c r="M187" s="46"/>
      <c r="N187" s="5"/>
    </row>
    <row r="188" spans="1:14" s="1" customFormat="1" ht="20" customHeight="1" x14ac:dyDescent="0.35">
      <c r="A188" s="13">
        <v>89</v>
      </c>
      <c r="B188" s="80" t="s">
        <v>342</v>
      </c>
      <c r="C188" s="87" t="s">
        <v>94</v>
      </c>
      <c r="D188" s="8"/>
      <c r="E188" s="6"/>
      <c r="F188" s="9"/>
      <c r="G188" s="9"/>
      <c r="H188" s="9"/>
      <c r="I188" s="8"/>
      <c r="J188" s="6"/>
      <c r="K188" s="52"/>
      <c r="L188" s="29"/>
      <c r="M188" s="32"/>
      <c r="N188" s="35"/>
    </row>
    <row r="189" spans="1:14" ht="20" customHeight="1" x14ac:dyDescent="0.35">
      <c r="A189" s="13">
        <v>90</v>
      </c>
      <c r="B189" s="82" t="s">
        <v>342</v>
      </c>
      <c r="C189" s="87" t="s">
        <v>95</v>
      </c>
      <c r="D189" s="11"/>
      <c r="E189" s="15"/>
      <c r="F189" s="35"/>
      <c r="G189" s="35"/>
      <c r="H189" s="53"/>
      <c r="I189" s="18"/>
      <c r="J189" s="19"/>
      <c r="K189" s="49"/>
      <c r="L189" s="36"/>
      <c r="M189" s="37"/>
    </row>
    <row r="190" spans="1:14" ht="20" customHeight="1" x14ac:dyDescent="0.35">
      <c r="A190" s="13">
        <v>90</v>
      </c>
      <c r="B190" s="82" t="s">
        <v>342</v>
      </c>
      <c r="C190" s="87" t="s">
        <v>61</v>
      </c>
      <c r="D190" s="11"/>
      <c r="E190" s="15"/>
      <c r="F190" s="35"/>
      <c r="G190" s="35"/>
      <c r="H190" s="53"/>
      <c r="I190" s="18"/>
      <c r="J190" s="19"/>
      <c r="K190" s="49"/>
      <c r="L190" s="36"/>
      <c r="M190" s="37"/>
    </row>
    <row r="191" spans="1:14" ht="20" customHeight="1" x14ac:dyDescent="0.35">
      <c r="A191" s="13">
        <v>90</v>
      </c>
      <c r="B191" s="80" t="s">
        <v>342</v>
      </c>
      <c r="C191" s="87" t="s">
        <v>96</v>
      </c>
      <c r="D191" s="11"/>
      <c r="E191" s="15"/>
      <c r="F191" s="35"/>
      <c r="G191" s="35"/>
      <c r="H191" s="53"/>
      <c r="I191" s="18"/>
      <c r="J191" s="19"/>
      <c r="K191" s="49"/>
      <c r="L191" s="36"/>
      <c r="M191" s="37"/>
    </row>
    <row r="192" spans="1:14" ht="20" customHeight="1" thickBot="1" x14ac:dyDescent="0.4">
      <c r="A192" s="13">
        <v>91</v>
      </c>
      <c r="B192" s="77" t="s">
        <v>345</v>
      </c>
      <c r="C192" s="87" t="s">
        <v>15</v>
      </c>
      <c r="D192" s="16">
        <v>3000</v>
      </c>
      <c r="E192" s="16">
        <v>3000</v>
      </c>
      <c r="F192" s="16">
        <v>540</v>
      </c>
      <c r="G192" s="5">
        <v>3540</v>
      </c>
      <c r="H192" s="16"/>
      <c r="I192" s="16"/>
      <c r="J192" s="16"/>
      <c r="K192" s="5" t="s">
        <v>8</v>
      </c>
      <c r="L192" s="45" t="s">
        <v>20</v>
      </c>
      <c r="M192" s="46"/>
    </row>
    <row r="193" spans="1:14" s="1" customFormat="1" ht="20" customHeight="1" x14ac:dyDescent="0.35">
      <c r="A193" s="13">
        <v>91</v>
      </c>
      <c r="B193" s="77" t="s">
        <v>345</v>
      </c>
      <c r="C193" s="87" t="s">
        <v>16</v>
      </c>
      <c r="D193" s="8"/>
      <c r="E193" s="8"/>
      <c r="F193" s="8"/>
      <c r="G193" s="9"/>
      <c r="H193" s="8"/>
      <c r="I193" s="8"/>
      <c r="J193" s="8"/>
      <c r="K193" s="29"/>
      <c r="L193" s="29"/>
      <c r="M193" s="32"/>
      <c r="N193" s="9"/>
    </row>
    <row r="194" spans="1:14" s="1" customFormat="1" ht="20" customHeight="1" x14ac:dyDescent="0.35">
      <c r="A194" s="13">
        <v>92</v>
      </c>
      <c r="B194" s="83" t="s">
        <v>81</v>
      </c>
      <c r="C194" s="89" t="s">
        <v>174</v>
      </c>
      <c r="D194" s="12">
        <v>3000</v>
      </c>
      <c r="E194" s="13">
        <v>9000</v>
      </c>
      <c r="F194" s="1">
        <f>E194*18%</f>
        <v>1620</v>
      </c>
      <c r="G194" s="1">
        <f>E194+F194</f>
        <v>10620</v>
      </c>
      <c r="I194" s="12"/>
      <c r="J194" s="13"/>
      <c r="K194" s="50" t="s">
        <v>28</v>
      </c>
      <c r="L194" s="39" t="s">
        <v>33</v>
      </c>
      <c r="M194" s="40"/>
    </row>
    <row r="195" spans="1:14" s="1" customFormat="1" ht="20" customHeight="1" x14ac:dyDescent="0.35">
      <c r="A195" s="13">
        <v>92</v>
      </c>
      <c r="B195" s="83" t="s">
        <v>81</v>
      </c>
      <c r="C195" s="89" t="s">
        <v>173</v>
      </c>
      <c r="D195" s="12"/>
      <c r="E195" s="13"/>
      <c r="I195" s="12"/>
      <c r="J195" s="13"/>
      <c r="K195" s="50"/>
      <c r="L195" s="39"/>
      <c r="M195" s="40"/>
    </row>
    <row r="196" spans="1:14" s="1" customFormat="1" ht="20" customHeight="1" thickBot="1" x14ac:dyDescent="0.4">
      <c r="A196" s="13">
        <v>93</v>
      </c>
      <c r="B196" s="83" t="s">
        <v>81</v>
      </c>
      <c r="C196" s="89" t="s">
        <v>176</v>
      </c>
      <c r="D196" s="16"/>
      <c r="E196" s="3"/>
      <c r="F196" s="5"/>
      <c r="G196" s="5"/>
      <c r="H196" s="5"/>
      <c r="I196" s="16"/>
      <c r="J196" s="3"/>
      <c r="K196" s="28"/>
      <c r="L196" s="45"/>
      <c r="M196" s="46"/>
    </row>
    <row r="197" spans="1:14" s="1" customFormat="1" ht="20" customHeight="1" x14ac:dyDescent="0.35">
      <c r="A197" s="13">
        <v>93</v>
      </c>
      <c r="B197" s="83" t="s">
        <v>81</v>
      </c>
      <c r="C197" s="89" t="s">
        <v>175</v>
      </c>
      <c r="D197" s="8"/>
      <c r="E197" s="6"/>
      <c r="F197" s="9"/>
      <c r="G197" s="9"/>
      <c r="H197" s="9"/>
      <c r="I197" s="8"/>
      <c r="J197" s="6"/>
      <c r="K197" s="52"/>
      <c r="L197" s="29"/>
      <c r="M197" s="32"/>
    </row>
    <row r="198" spans="1:14" s="1" customFormat="1" ht="20" customHeight="1" x14ac:dyDescent="0.35">
      <c r="A198" s="13">
        <v>94</v>
      </c>
      <c r="B198" s="83" t="s">
        <v>81</v>
      </c>
      <c r="C198" s="89" t="s">
        <v>178</v>
      </c>
      <c r="D198" s="12"/>
      <c r="E198" s="13"/>
      <c r="I198" s="12"/>
      <c r="J198" s="13"/>
      <c r="K198" s="50"/>
      <c r="L198" s="39"/>
      <c r="M198" s="40"/>
    </row>
    <row r="199" spans="1:14" s="1" customFormat="1" ht="20" customHeight="1" x14ac:dyDescent="0.35">
      <c r="A199" s="13">
        <v>94</v>
      </c>
      <c r="B199" s="83" t="s">
        <v>81</v>
      </c>
      <c r="C199" s="89" t="s">
        <v>177</v>
      </c>
      <c r="D199" s="12"/>
      <c r="E199" s="13"/>
      <c r="I199" s="12"/>
      <c r="J199" s="13"/>
      <c r="K199" s="50"/>
      <c r="L199" s="39"/>
      <c r="M199" s="40"/>
    </row>
    <row r="200" spans="1:14" s="1" customFormat="1" ht="20" customHeight="1" thickBot="1" x14ac:dyDescent="0.4">
      <c r="A200" s="13">
        <v>95</v>
      </c>
      <c r="B200" s="80" t="s">
        <v>230</v>
      </c>
      <c r="C200" s="88" t="s">
        <v>259</v>
      </c>
      <c r="D200" s="16"/>
      <c r="E200" s="3"/>
      <c r="F200" s="5"/>
      <c r="G200" s="5"/>
      <c r="H200" s="5"/>
      <c r="I200" s="16"/>
      <c r="J200" s="3"/>
      <c r="K200" s="5" t="s">
        <v>241</v>
      </c>
      <c r="L200" s="45" t="s">
        <v>266</v>
      </c>
      <c r="M200" s="5"/>
    </row>
    <row r="201" spans="1:14" s="1" customFormat="1" ht="20" customHeight="1" x14ac:dyDescent="0.35">
      <c r="A201" s="13">
        <v>95</v>
      </c>
      <c r="B201" s="80" t="s">
        <v>230</v>
      </c>
      <c r="C201" s="88" t="s">
        <v>231</v>
      </c>
      <c r="D201" s="8"/>
      <c r="E201" s="6"/>
      <c r="F201" s="9"/>
      <c r="G201" s="9"/>
      <c r="H201" s="9"/>
      <c r="I201" s="8"/>
      <c r="J201" s="6"/>
      <c r="K201" s="9"/>
      <c r="L201" s="29"/>
      <c r="M201" s="9"/>
    </row>
    <row r="202" spans="1:14" s="1" customFormat="1" ht="20" customHeight="1" x14ac:dyDescent="0.35">
      <c r="A202" s="13">
        <v>96</v>
      </c>
      <c r="B202" s="80" t="s">
        <v>230</v>
      </c>
      <c r="C202" s="88" t="s">
        <v>232</v>
      </c>
      <c r="D202" s="12"/>
      <c r="E202" s="13"/>
      <c r="I202" s="12"/>
      <c r="J202" s="13"/>
      <c r="L202" s="39"/>
    </row>
    <row r="203" spans="1:14" s="1" customFormat="1" ht="20" customHeight="1" x14ac:dyDescent="0.35">
      <c r="A203" s="13">
        <v>96</v>
      </c>
      <c r="B203" s="80" t="s">
        <v>230</v>
      </c>
      <c r="C203" s="88" t="s">
        <v>233</v>
      </c>
      <c r="D203" s="12"/>
      <c r="E203" s="13"/>
      <c r="I203" s="12"/>
      <c r="J203" s="13"/>
      <c r="L203" s="39"/>
    </row>
    <row r="204" spans="1:14" s="1" customFormat="1" ht="20" customHeight="1" x14ac:dyDescent="0.35">
      <c r="A204" s="13">
        <v>97</v>
      </c>
      <c r="B204" s="80" t="s">
        <v>230</v>
      </c>
      <c r="C204" s="88" t="s">
        <v>258</v>
      </c>
      <c r="D204" s="12"/>
      <c r="E204" s="13"/>
      <c r="I204" s="12"/>
      <c r="J204" s="13"/>
      <c r="L204" s="39"/>
    </row>
    <row r="205" spans="1:14" s="1" customFormat="1" ht="20" customHeight="1" x14ac:dyDescent="0.35">
      <c r="A205" s="13">
        <v>97</v>
      </c>
      <c r="B205" s="80" t="s">
        <v>230</v>
      </c>
      <c r="C205" s="88" t="s">
        <v>234</v>
      </c>
      <c r="D205" s="12"/>
      <c r="E205" s="13"/>
      <c r="I205" s="12"/>
      <c r="J205" s="13"/>
      <c r="L205" s="39"/>
    </row>
    <row r="206" spans="1:14" s="1" customFormat="1" ht="20" customHeight="1" thickBot="1" x14ac:dyDescent="0.4">
      <c r="A206" s="13">
        <v>98</v>
      </c>
      <c r="B206" s="80" t="s">
        <v>230</v>
      </c>
      <c r="C206" s="88" t="s">
        <v>235</v>
      </c>
      <c r="D206" s="16"/>
      <c r="E206" s="3"/>
      <c r="F206" s="5"/>
      <c r="G206" s="5"/>
      <c r="H206" s="5"/>
      <c r="I206" s="16"/>
      <c r="J206" s="3"/>
      <c r="K206" s="30"/>
      <c r="L206" s="45"/>
      <c r="M206" s="5"/>
    </row>
    <row r="207" spans="1:14" ht="20" customHeight="1" x14ac:dyDescent="0.35">
      <c r="A207" s="13">
        <v>98</v>
      </c>
      <c r="B207" s="80" t="s">
        <v>230</v>
      </c>
      <c r="C207" s="88" t="s">
        <v>236</v>
      </c>
      <c r="D207" s="8"/>
      <c r="E207" s="6"/>
      <c r="F207" s="9"/>
      <c r="G207" s="9"/>
      <c r="H207" s="9"/>
      <c r="I207" s="8"/>
      <c r="J207" s="6"/>
      <c r="K207" s="66"/>
      <c r="L207" s="29"/>
      <c r="M207" s="9"/>
    </row>
    <row r="208" spans="1:14" ht="20" customHeight="1" thickBot="1" x14ac:dyDescent="0.4">
      <c r="A208" s="13">
        <v>99</v>
      </c>
      <c r="B208" s="80" t="s">
        <v>230</v>
      </c>
      <c r="C208" s="88" t="s">
        <v>237</v>
      </c>
      <c r="D208" s="10"/>
      <c r="E208" s="14"/>
      <c r="F208" s="30"/>
      <c r="G208" s="30"/>
      <c r="H208" s="30"/>
      <c r="I208" s="10"/>
      <c r="J208" s="14"/>
      <c r="K208" s="30"/>
      <c r="L208" s="31"/>
      <c r="M208" s="30"/>
    </row>
    <row r="209" spans="1:13" ht="20" customHeight="1" x14ac:dyDescent="0.35">
      <c r="A209" s="13">
        <v>99</v>
      </c>
      <c r="B209" s="80" t="s">
        <v>230</v>
      </c>
      <c r="C209" s="88" t="s">
        <v>238</v>
      </c>
      <c r="D209" s="22"/>
      <c r="E209" s="17"/>
      <c r="F209" s="51"/>
      <c r="G209" s="51"/>
      <c r="H209" s="51"/>
      <c r="I209" s="22"/>
      <c r="J209" s="17"/>
      <c r="K209" s="51"/>
      <c r="L209" s="61"/>
      <c r="M209" s="51"/>
    </row>
    <row r="210" spans="1:13" s="1" customFormat="1" ht="20" customHeight="1" x14ac:dyDescent="0.35">
      <c r="A210" s="13">
        <v>100</v>
      </c>
      <c r="B210" s="80" t="s">
        <v>230</v>
      </c>
      <c r="C210" s="88" t="s">
        <v>240</v>
      </c>
      <c r="D210" s="12"/>
      <c r="E210" s="13"/>
      <c r="I210" s="12"/>
      <c r="J210" s="13"/>
      <c r="L210" s="39"/>
    </row>
    <row r="211" spans="1:13" s="1" customFormat="1" ht="20" customHeight="1" x14ac:dyDescent="0.35">
      <c r="A211" s="13">
        <v>100</v>
      </c>
      <c r="B211" s="80" t="s">
        <v>230</v>
      </c>
      <c r="C211" s="88" t="s">
        <v>239</v>
      </c>
      <c r="D211" s="12"/>
      <c r="E211" s="13"/>
      <c r="I211" s="12"/>
      <c r="J211" s="13"/>
      <c r="L211" s="39"/>
    </row>
    <row r="212" spans="1:13" ht="20" customHeight="1" thickBot="1" x14ac:dyDescent="0.4">
      <c r="A212" s="13">
        <v>101</v>
      </c>
      <c r="B212" s="77" t="s">
        <v>369</v>
      </c>
      <c r="C212" s="88" t="s">
        <v>159</v>
      </c>
      <c r="D212" s="23"/>
      <c r="E212" s="24"/>
      <c r="F212" s="63"/>
      <c r="G212" s="63"/>
      <c r="H212" s="63"/>
      <c r="I212" s="23"/>
      <c r="J212" s="24"/>
      <c r="K212" s="62" t="s">
        <v>162</v>
      </c>
      <c r="L212" s="64" t="s">
        <v>163</v>
      </c>
      <c r="M212" s="71">
        <v>46071</v>
      </c>
    </row>
    <row r="213" spans="1:13" ht="20" customHeight="1" x14ac:dyDescent="0.35">
      <c r="A213" s="13">
        <v>101</v>
      </c>
      <c r="B213" s="77" t="s">
        <v>369</v>
      </c>
      <c r="C213" s="88" t="s">
        <v>160</v>
      </c>
      <c r="D213" s="11"/>
      <c r="E213" s="15"/>
      <c r="F213" s="35"/>
      <c r="G213" s="35"/>
      <c r="H213" s="53"/>
      <c r="I213" s="18"/>
      <c r="J213" s="19"/>
      <c r="K213" s="35"/>
      <c r="L213" s="61"/>
      <c r="M213" s="35"/>
    </row>
    <row r="214" spans="1:13" ht="20" customHeight="1" x14ac:dyDescent="0.35">
      <c r="A214" s="13">
        <v>101</v>
      </c>
      <c r="B214" s="77" t="s">
        <v>369</v>
      </c>
      <c r="C214" s="88" t="s">
        <v>161</v>
      </c>
      <c r="D214" s="25"/>
      <c r="E214" s="13"/>
      <c r="F214" s="1"/>
      <c r="G214" s="1"/>
      <c r="H214" s="5"/>
      <c r="I214" s="16"/>
      <c r="J214" s="3"/>
      <c r="K214" s="1"/>
      <c r="L214" s="39"/>
      <c r="M214" s="1"/>
    </row>
    <row r="215" spans="1:13" ht="20" customHeight="1" x14ac:dyDescent="0.35">
      <c r="A215" s="13">
        <v>102</v>
      </c>
      <c r="B215" s="80" t="s">
        <v>348</v>
      </c>
      <c r="C215" s="87" t="s">
        <v>261</v>
      </c>
      <c r="D215" s="25"/>
      <c r="E215" s="13"/>
      <c r="F215" s="1"/>
      <c r="G215" s="1"/>
      <c r="H215" s="5"/>
      <c r="I215" s="16"/>
      <c r="J215" s="3"/>
      <c r="K215" s="1" t="s">
        <v>263</v>
      </c>
      <c r="L215" s="39" t="s">
        <v>264</v>
      </c>
      <c r="M215" s="1"/>
    </row>
    <row r="216" spans="1:13" ht="20" customHeight="1" x14ac:dyDescent="0.35">
      <c r="A216" s="13">
        <v>102</v>
      </c>
      <c r="B216" s="80" t="s">
        <v>348</v>
      </c>
      <c r="C216" s="87" t="s">
        <v>262</v>
      </c>
      <c r="D216" s="25"/>
      <c r="E216" s="13"/>
      <c r="F216" s="1"/>
      <c r="G216" s="1"/>
      <c r="H216" s="5"/>
      <c r="I216" s="16"/>
      <c r="J216" s="3"/>
      <c r="K216" s="68"/>
      <c r="L216" s="39"/>
      <c r="M216" s="1"/>
    </row>
    <row r="217" spans="1:13" ht="20" customHeight="1" x14ac:dyDescent="0.35">
      <c r="A217" s="13">
        <v>102</v>
      </c>
      <c r="B217" s="80" t="s">
        <v>348</v>
      </c>
      <c r="C217" s="87" t="s">
        <v>260</v>
      </c>
      <c r="D217" s="25"/>
      <c r="E217" s="13"/>
      <c r="F217" s="1"/>
      <c r="G217" s="1"/>
      <c r="H217" s="5"/>
      <c r="I217" s="16"/>
      <c r="J217" s="3"/>
      <c r="K217" s="1"/>
      <c r="L217" s="39"/>
      <c r="M217" s="1"/>
    </row>
    <row r="218" spans="1:13" ht="20" customHeight="1" x14ac:dyDescent="0.35">
      <c r="A218" s="13">
        <v>103</v>
      </c>
      <c r="B218" s="79" t="s">
        <v>114</v>
      </c>
      <c r="C218" s="88" t="s">
        <v>115</v>
      </c>
      <c r="D218" s="25">
        <v>3000</v>
      </c>
      <c r="E218" s="13">
        <f>3000*3</f>
        <v>9000</v>
      </c>
      <c r="F218" s="1">
        <v>0</v>
      </c>
      <c r="G218" s="1">
        <f>E218+F218</f>
        <v>9000</v>
      </c>
      <c r="H218" s="5"/>
      <c r="I218" s="16"/>
      <c r="J218" s="3"/>
      <c r="K218" s="50" t="s">
        <v>120</v>
      </c>
      <c r="L218" s="39" t="s">
        <v>121</v>
      </c>
      <c r="M218" s="40"/>
    </row>
    <row r="219" spans="1:13" ht="20" customHeight="1" x14ac:dyDescent="0.35">
      <c r="A219" s="13">
        <v>103</v>
      </c>
      <c r="B219" s="79" t="s">
        <v>114</v>
      </c>
      <c r="C219" s="88" t="s">
        <v>116</v>
      </c>
      <c r="D219" s="25"/>
      <c r="E219" s="13"/>
      <c r="F219" s="1"/>
      <c r="G219" s="1"/>
      <c r="H219" s="5"/>
      <c r="I219" s="16"/>
      <c r="J219" s="3"/>
      <c r="K219" s="50"/>
      <c r="L219" s="39"/>
      <c r="M219" s="40"/>
    </row>
    <row r="220" spans="1:13" ht="20" customHeight="1" x14ac:dyDescent="0.35">
      <c r="A220" s="13">
        <v>104</v>
      </c>
      <c r="B220" s="79" t="s">
        <v>114</v>
      </c>
      <c r="C220" s="88" t="s">
        <v>118</v>
      </c>
      <c r="D220" s="25"/>
      <c r="E220" s="13"/>
      <c r="F220" s="1"/>
      <c r="G220" s="1"/>
      <c r="H220" s="5"/>
      <c r="I220" s="16"/>
      <c r="J220" s="3"/>
      <c r="K220" s="1"/>
      <c r="L220" s="39"/>
      <c r="M220" s="1"/>
    </row>
    <row r="221" spans="1:13" ht="20" customHeight="1" x14ac:dyDescent="0.35">
      <c r="A221" s="13">
        <v>104</v>
      </c>
      <c r="B221" s="79" t="s">
        <v>114</v>
      </c>
      <c r="C221" s="88" t="s">
        <v>117</v>
      </c>
      <c r="D221" s="25"/>
      <c r="E221" s="13"/>
      <c r="F221" s="1"/>
      <c r="G221" s="1"/>
      <c r="H221" s="5"/>
      <c r="I221" s="16"/>
      <c r="J221" s="3"/>
      <c r="K221" s="1"/>
      <c r="L221" s="39"/>
      <c r="M221" s="1"/>
    </row>
    <row r="222" spans="1:13" ht="20" customHeight="1" x14ac:dyDescent="0.35">
      <c r="A222" s="13">
        <v>105</v>
      </c>
      <c r="B222" s="79" t="s">
        <v>114</v>
      </c>
      <c r="C222" s="88" t="s">
        <v>119</v>
      </c>
      <c r="D222" s="25"/>
      <c r="E222" s="13"/>
      <c r="F222" s="1"/>
      <c r="G222" s="1"/>
      <c r="H222" s="5"/>
      <c r="I222" s="16"/>
      <c r="J222" s="3"/>
      <c r="K222" s="1"/>
      <c r="L222" s="39"/>
      <c r="M222" s="1"/>
    </row>
    <row r="223" spans="1:13" ht="20" customHeight="1" x14ac:dyDescent="0.35">
      <c r="A223" s="13">
        <v>106</v>
      </c>
      <c r="B223" s="80" t="s">
        <v>166</v>
      </c>
      <c r="C223" s="88" t="s">
        <v>168</v>
      </c>
      <c r="D223" s="25"/>
      <c r="E223" s="13"/>
      <c r="F223" s="1"/>
      <c r="G223" s="1"/>
      <c r="H223" s="5"/>
      <c r="I223" s="16"/>
      <c r="J223" s="3"/>
      <c r="K223" s="1" t="s">
        <v>183</v>
      </c>
      <c r="L223" s="39" t="s">
        <v>184</v>
      </c>
      <c r="M223" s="1"/>
    </row>
    <row r="224" spans="1:13" ht="20" customHeight="1" thickBot="1" x14ac:dyDescent="0.4">
      <c r="A224" s="13">
        <v>106</v>
      </c>
      <c r="B224" s="80" t="s">
        <v>166</v>
      </c>
      <c r="C224" s="88" t="s">
        <v>167</v>
      </c>
      <c r="D224" s="26"/>
      <c r="E224" s="3"/>
      <c r="F224" s="5"/>
      <c r="G224" s="5"/>
      <c r="H224" s="5"/>
      <c r="I224" s="16"/>
      <c r="J224" s="3"/>
      <c r="K224" s="5"/>
      <c r="L224" s="45"/>
      <c r="M224" s="5"/>
    </row>
    <row r="225" spans="1:14" ht="20" customHeight="1" x14ac:dyDescent="0.35">
      <c r="A225" s="13">
        <v>107</v>
      </c>
      <c r="B225" s="80" t="s">
        <v>166</v>
      </c>
      <c r="C225" s="88" t="s">
        <v>169</v>
      </c>
      <c r="D225" s="20"/>
      <c r="E225" s="6"/>
      <c r="F225" s="9"/>
      <c r="G225" s="9"/>
      <c r="H225" s="9"/>
      <c r="I225" s="8"/>
      <c r="J225" s="6"/>
      <c r="K225" s="9"/>
      <c r="L225" s="61"/>
      <c r="M225" s="9"/>
    </row>
    <row r="226" spans="1:14" ht="20" customHeight="1" x14ac:dyDescent="0.35">
      <c r="A226" s="13">
        <v>107</v>
      </c>
      <c r="B226" s="80" t="s">
        <v>166</v>
      </c>
      <c r="C226" s="88" t="s">
        <v>181</v>
      </c>
      <c r="D226" s="25"/>
      <c r="E226" s="13"/>
      <c r="F226" s="1"/>
      <c r="G226" s="1"/>
      <c r="H226" s="5"/>
      <c r="I226" s="16"/>
      <c r="J226" s="3"/>
      <c r="K226" s="66"/>
      <c r="L226" s="39"/>
      <c r="M226" s="1"/>
    </row>
    <row r="227" spans="1:14" ht="20" customHeight="1" thickBot="1" x14ac:dyDescent="0.4">
      <c r="A227" s="13">
        <v>108</v>
      </c>
      <c r="B227" s="80" t="s">
        <v>166</v>
      </c>
      <c r="C227" s="88" t="s">
        <v>182</v>
      </c>
      <c r="D227" s="21"/>
      <c r="E227" s="3"/>
      <c r="F227" s="5"/>
      <c r="G227" s="5"/>
      <c r="H227" s="5"/>
      <c r="I227" s="16"/>
      <c r="J227" s="3"/>
      <c r="K227" s="5"/>
      <c r="L227" s="45"/>
      <c r="M227" s="5"/>
    </row>
    <row r="228" spans="1:14" ht="20" customHeight="1" x14ac:dyDescent="0.35">
      <c r="A228" s="13">
        <v>108</v>
      </c>
      <c r="B228" s="80" t="s">
        <v>166</v>
      </c>
      <c r="C228" s="88" t="s">
        <v>170</v>
      </c>
      <c r="D228" s="27"/>
      <c r="E228" s="6"/>
      <c r="F228" s="9"/>
      <c r="G228" s="9"/>
      <c r="H228" s="51"/>
      <c r="I228" s="22"/>
      <c r="J228" s="17"/>
      <c r="K228" s="9"/>
      <c r="L228" s="61"/>
      <c r="M228" s="9"/>
    </row>
    <row r="229" spans="1:14" ht="20" customHeight="1" thickBot="1" x14ac:dyDescent="0.4">
      <c r="A229" s="13">
        <v>109</v>
      </c>
      <c r="B229" s="80" t="s">
        <v>229</v>
      </c>
      <c r="C229" s="87" t="s">
        <v>267</v>
      </c>
      <c r="D229" s="26"/>
      <c r="E229" s="3"/>
      <c r="F229" s="5"/>
      <c r="G229" s="5"/>
      <c r="H229" s="5"/>
      <c r="I229" s="16"/>
      <c r="J229" s="3"/>
      <c r="K229" s="5" t="s">
        <v>227</v>
      </c>
      <c r="L229" s="45" t="s">
        <v>228</v>
      </c>
      <c r="M229" s="5"/>
    </row>
    <row r="230" spans="1:14" ht="20" customHeight="1" x14ac:dyDescent="0.35">
      <c r="A230" s="13">
        <v>109</v>
      </c>
      <c r="B230" s="80" t="s">
        <v>229</v>
      </c>
      <c r="C230" s="88" t="s">
        <v>334</v>
      </c>
      <c r="D230" s="20"/>
      <c r="E230" s="6"/>
      <c r="F230" s="9"/>
      <c r="G230" s="9"/>
      <c r="H230" s="51"/>
      <c r="I230" s="22"/>
      <c r="J230" s="17"/>
      <c r="K230" s="9"/>
      <c r="L230" s="29"/>
      <c r="M230" s="9"/>
      <c r="N230" s="66"/>
    </row>
    <row r="231" spans="1:14" ht="20" customHeight="1" x14ac:dyDescent="0.35">
      <c r="A231" s="13">
        <v>110</v>
      </c>
      <c r="B231" s="80" t="s">
        <v>229</v>
      </c>
      <c r="C231" s="88" t="s">
        <v>335</v>
      </c>
      <c r="D231" s="25"/>
      <c r="E231" s="13"/>
      <c r="F231" s="1"/>
      <c r="G231" s="1"/>
      <c r="H231" s="5"/>
      <c r="I231" s="16"/>
      <c r="J231" s="3"/>
      <c r="K231" s="1"/>
      <c r="L231" s="39"/>
      <c r="M231" s="1"/>
      <c r="N231" s="66"/>
    </row>
    <row r="232" spans="1:14" ht="20" customHeight="1" thickBot="1" x14ac:dyDescent="0.4">
      <c r="A232" s="13">
        <v>110</v>
      </c>
      <c r="B232" s="80" t="s">
        <v>229</v>
      </c>
      <c r="C232" s="88" t="s">
        <v>268</v>
      </c>
      <c r="D232" s="21"/>
      <c r="E232" s="14"/>
      <c r="F232" s="30"/>
      <c r="G232" s="30"/>
      <c r="H232" s="30"/>
      <c r="I232" s="10"/>
      <c r="J232" s="14"/>
      <c r="K232" s="30"/>
      <c r="L232" s="31"/>
      <c r="M232" s="30"/>
    </row>
  </sheetData>
  <sortState xmlns:xlrd2="http://schemas.microsoft.com/office/spreadsheetml/2017/richdata2" ref="A2:N232">
    <sortCondition ref="B2:B232"/>
    <sortCondition ref="A2:A232"/>
  </sortState>
  <hyperlinks>
    <hyperlink ref="K212" r:id="rId1" display="https://www.google.com/search?q=33AABCT3125D1ZZ&amp;sca_esv=d6eb6bac57f34326&amp;sxsrf=ANbL-n4dbDB7UQcQT-Rb3bVUAelyG0I9MA%3A1771307793287&amp;source=hp&amp;ei=EQOUadq_D8WSseMPmtaPsAQ&amp;iflsig=AFdpzrgAAAAAaZQRIbH1M1hCp7NGrTUpri3DrB076aa0&amp;oq=tenneco+hosur+&amp;gs_lp=Egdnd3Mtd2l6Ig50ZW5uZWNvIGhvc3VyICoCCAAyBBAjGCcyCxAuGIAEGMcBGK8BMgUQABiABDIFEAAYgAQyBRAAGIAEMgUQABiABDIIEAAYgAQYywEyBhAAGBYYHjIGEAAYFhgeMgYQABgWGB5I_ztQAFiGK3ACeACQAQCYAc8DoAHsGaoBCjAuMTEuNC4wLjG4AQHIAQD4AQGYAhKgApkawgIKECMYgAQYJxiKBcICChAjGPAFGCcYngbCAgsQLhiABBiRAhiKBcICDhAAGIAEGLEDGIMBGIoFwgILEC4YgAQYsQMYgwHCAgsQABiABBixAxiDAcICChAAGIAEGEMYigXCAhEQLhiABBiRAhjRAxjHARiKBcICDhAuGIAEGJECGLEDGIoFwgILEAAYgAQYkQIYigXCAgoQLhiABBhDGIoFwgINEAAYgAQYsQMYQxiKBcICExAuGIAEGLEDGNEDGEMYxwEYigXCAg0QLhiABBixAxhDGIoFwgIIEAAYgAQYsQPCAg0QIxjwBRixAhgnGJ4GwgIHECMYsQIYJ8ICDBAAGIAEGLEDGAoYC8ICCRAAGIAEGAoYC8ICEhAuGIAEGLEDGNEDGMcBGAoYC5gDAJIHCjIuMTAuNS4wLjGgB9_eAbIHCjAuMTAuNS4wLjG4B5YawgcGMC4xNy4xyAcfgAgA&amp;sclient=gws-wiz&amp;ved=2ahUKEwjS3f3i69-SAxX9RWwGHeIiMqcQgK4QegYIAQgAEAM" xr:uid="{E694135B-E796-4073-BB5C-5A033A056E7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AAA7-8798-4964-9A65-6CABA1CEA890}">
  <dimension ref="A1:W52"/>
  <sheetViews>
    <sheetView topLeftCell="A38" workbookViewId="0">
      <selection activeCell="A52" sqref="A52"/>
    </sheetView>
  </sheetViews>
  <sheetFormatPr defaultRowHeight="15" customHeight="1" x14ac:dyDescent="0.35"/>
  <cols>
    <col min="1" max="1" width="55.6328125" style="81" customWidth="1"/>
    <col min="2" max="6" width="8.36328125" style="92" customWidth="1"/>
    <col min="7" max="7" width="4.81640625" style="81" customWidth="1"/>
    <col min="8" max="18" width="8.7265625" style="81"/>
    <col min="19" max="16384" width="8.7265625" style="76"/>
  </cols>
  <sheetData>
    <row r="1" spans="1:19" ht="15" customHeight="1" x14ac:dyDescent="0.35">
      <c r="A1" s="94" t="s">
        <v>371</v>
      </c>
      <c r="B1" s="94"/>
      <c r="C1" s="94"/>
      <c r="D1" s="94"/>
      <c r="E1" s="94"/>
      <c r="F1" s="94"/>
    </row>
    <row r="2" spans="1:19" ht="15" customHeight="1" x14ac:dyDescent="0.35">
      <c r="A2" s="94" t="s">
        <v>372</v>
      </c>
      <c r="B2" s="94"/>
      <c r="C2" s="94"/>
      <c r="D2" s="94"/>
      <c r="E2" s="94"/>
      <c r="F2" s="94"/>
    </row>
    <row r="3" spans="1:19" s="78" customFormat="1" ht="15" customHeight="1" x14ac:dyDescent="0.35">
      <c r="A3" s="93" t="s">
        <v>370</v>
      </c>
      <c r="B3" s="93" t="s">
        <v>363</v>
      </c>
      <c r="C3" s="93" t="s">
        <v>364</v>
      </c>
      <c r="D3" s="93" t="s">
        <v>365</v>
      </c>
      <c r="E3" s="93" t="s">
        <v>366</v>
      </c>
      <c r="F3" s="93" t="s">
        <v>367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91"/>
    </row>
    <row r="4" spans="1:19" s="78" customFormat="1" ht="15" customHeight="1" x14ac:dyDescent="0.35">
      <c r="A4" s="77" t="s">
        <v>80</v>
      </c>
      <c r="B4" s="75">
        <v>1</v>
      </c>
      <c r="C4" s="75">
        <v>2</v>
      </c>
      <c r="D4" s="75"/>
      <c r="E4" s="75"/>
      <c r="F4" s="75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91"/>
    </row>
    <row r="5" spans="1:19" s="78" customFormat="1" ht="15" customHeight="1" x14ac:dyDescent="0.35">
      <c r="A5" s="78" t="s">
        <v>344</v>
      </c>
      <c r="B5" s="75"/>
      <c r="C5" s="75"/>
      <c r="D5" s="75">
        <v>3</v>
      </c>
      <c r="E5" s="75"/>
      <c r="F5" s="75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91"/>
    </row>
    <row r="6" spans="1:19" s="78" customFormat="1" ht="15" customHeight="1" x14ac:dyDescent="0.35">
      <c r="A6" s="78" t="s">
        <v>171</v>
      </c>
      <c r="B6" s="75">
        <v>6</v>
      </c>
      <c r="C6" s="75">
        <v>7</v>
      </c>
      <c r="D6" s="75">
        <v>8</v>
      </c>
      <c r="E6" s="75">
        <v>4</v>
      </c>
      <c r="F6" s="75">
        <v>5</v>
      </c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91"/>
    </row>
    <row r="7" spans="1:19" s="78" customFormat="1" ht="15" customHeight="1" x14ac:dyDescent="0.35">
      <c r="A7" s="78" t="s">
        <v>180</v>
      </c>
      <c r="B7" s="75">
        <v>9</v>
      </c>
      <c r="C7" s="75">
        <v>10</v>
      </c>
      <c r="D7" s="75"/>
      <c r="E7" s="75"/>
      <c r="F7" s="75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91"/>
    </row>
    <row r="8" spans="1:19" s="78" customFormat="1" ht="15" customHeight="1" x14ac:dyDescent="0.35">
      <c r="A8" s="78" t="s">
        <v>172</v>
      </c>
      <c r="B8" s="75"/>
      <c r="C8" s="75"/>
      <c r="D8" s="75">
        <v>11</v>
      </c>
      <c r="E8" s="75">
        <v>12</v>
      </c>
      <c r="F8" s="75">
        <v>13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91"/>
    </row>
    <row r="9" spans="1:19" s="78" customFormat="1" ht="15" customHeight="1" x14ac:dyDescent="0.35">
      <c r="A9" s="79" t="s">
        <v>57</v>
      </c>
      <c r="B9" s="75">
        <v>14</v>
      </c>
      <c r="C9" s="75">
        <v>15</v>
      </c>
      <c r="D9" s="75"/>
      <c r="E9" s="75"/>
      <c r="F9" s="75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91"/>
    </row>
    <row r="10" spans="1:19" s="78" customFormat="1" ht="15" customHeight="1" x14ac:dyDescent="0.35">
      <c r="A10" s="80" t="s">
        <v>195</v>
      </c>
      <c r="B10" s="75"/>
      <c r="C10" s="75"/>
      <c r="D10" s="75">
        <v>16</v>
      </c>
      <c r="E10" s="75">
        <v>17</v>
      </c>
      <c r="F10" s="75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91"/>
    </row>
    <row r="11" spans="1:19" s="78" customFormat="1" ht="15" customHeight="1" x14ac:dyDescent="0.35">
      <c r="A11" s="79" t="s">
        <v>101</v>
      </c>
      <c r="B11" s="75">
        <v>19</v>
      </c>
      <c r="C11" s="75">
        <v>20</v>
      </c>
      <c r="D11" s="75">
        <v>21</v>
      </c>
      <c r="E11" s="75"/>
      <c r="F11" s="75">
        <v>18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91"/>
    </row>
    <row r="12" spans="1:19" s="78" customFormat="1" ht="15" customHeight="1" x14ac:dyDescent="0.35">
      <c r="A12" s="77" t="s">
        <v>86</v>
      </c>
      <c r="B12" s="75"/>
      <c r="C12" s="75"/>
      <c r="D12" s="75"/>
      <c r="E12" s="75">
        <v>22</v>
      </c>
      <c r="F12" s="75">
        <v>23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91"/>
    </row>
    <row r="13" spans="1:19" ht="15" customHeight="1" x14ac:dyDescent="0.35">
      <c r="A13" s="77" t="s">
        <v>351</v>
      </c>
      <c r="B13" s="75">
        <v>24</v>
      </c>
      <c r="C13" s="75">
        <v>25</v>
      </c>
      <c r="D13" s="75">
        <v>26</v>
      </c>
      <c r="E13" s="75">
        <v>27</v>
      </c>
      <c r="F13" s="75"/>
    </row>
    <row r="14" spans="1:19" ht="15" customHeight="1" x14ac:dyDescent="0.35">
      <c r="A14" s="77" t="s">
        <v>353</v>
      </c>
      <c r="B14" s="75">
        <v>29</v>
      </c>
      <c r="C14" s="75">
        <v>30</v>
      </c>
      <c r="D14" s="75">
        <v>31</v>
      </c>
      <c r="E14" s="75">
        <v>32</v>
      </c>
      <c r="F14" s="75">
        <v>28</v>
      </c>
    </row>
    <row r="15" spans="1:19" ht="15" customHeight="1" x14ac:dyDescent="0.35">
      <c r="A15" s="77" t="s">
        <v>353</v>
      </c>
      <c r="B15" s="75">
        <v>33</v>
      </c>
      <c r="C15" s="75"/>
      <c r="D15" s="75"/>
      <c r="E15" s="75"/>
      <c r="F15" s="75"/>
    </row>
    <row r="16" spans="1:19" s="78" customFormat="1" ht="15" customHeight="1" x14ac:dyDescent="0.35">
      <c r="A16" s="77" t="s">
        <v>352</v>
      </c>
      <c r="B16" s="75"/>
      <c r="C16" s="75">
        <v>34</v>
      </c>
      <c r="D16" s="75">
        <v>35</v>
      </c>
      <c r="E16" s="75"/>
      <c r="F16" s="75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91"/>
    </row>
    <row r="17" spans="1:19" s="78" customFormat="1" ht="15" customHeight="1" x14ac:dyDescent="0.35">
      <c r="A17" s="77" t="s">
        <v>82</v>
      </c>
      <c r="B17" s="75">
        <v>38</v>
      </c>
      <c r="C17" s="75">
        <v>39</v>
      </c>
      <c r="D17" s="75"/>
      <c r="E17" s="75">
        <v>36</v>
      </c>
      <c r="F17" s="75">
        <v>37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91"/>
    </row>
    <row r="18" spans="1:19" ht="15" customHeight="1" x14ac:dyDescent="0.35">
      <c r="A18" s="80" t="s">
        <v>210</v>
      </c>
      <c r="B18" s="75"/>
      <c r="C18" s="75"/>
      <c r="D18" s="75">
        <v>40</v>
      </c>
      <c r="E18" s="75">
        <v>41</v>
      </c>
      <c r="F18" s="75">
        <v>42</v>
      </c>
    </row>
    <row r="19" spans="1:19" ht="15" customHeight="1" x14ac:dyDescent="0.35">
      <c r="A19" s="80" t="s">
        <v>85</v>
      </c>
      <c r="B19" s="75">
        <v>43</v>
      </c>
      <c r="C19" s="75">
        <v>44</v>
      </c>
      <c r="D19" s="75"/>
      <c r="E19" s="75"/>
      <c r="F19" s="75"/>
    </row>
    <row r="20" spans="1:19" ht="15" customHeight="1" x14ac:dyDescent="0.35">
      <c r="A20" s="83" t="s">
        <v>83</v>
      </c>
      <c r="B20" s="75"/>
      <c r="C20" s="75"/>
      <c r="D20" s="75">
        <v>45</v>
      </c>
      <c r="E20" s="75">
        <v>46</v>
      </c>
      <c r="F20" s="75"/>
    </row>
    <row r="21" spans="1:19" ht="15" customHeight="1" x14ac:dyDescent="0.35">
      <c r="A21" s="84" t="s">
        <v>349</v>
      </c>
      <c r="B21" s="75">
        <v>48</v>
      </c>
      <c r="C21" s="75"/>
      <c r="D21" s="75"/>
      <c r="E21" s="75"/>
      <c r="F21" s="75">
        <v>47</v>
      </c>
    </row>
    <row r="22" spans="1:19" ht="15" customHeight="1" x14ac:dyDescent="0.35">
      <c r="A22" s="80" t="s">
        <v>368</v>
      </c>
      <c r="B22" s="75"/>
      <c r="C22" s="75">
        <v>49</v>
      </c>
      <c r="D22" s="75">
        <v>50</v>
      </c>
      <c r="E22" s="75"/>
      <c r="F22" s="75"/>
    </row>
    <row r="23" spans="1:19" ht="15" customHeight="1" x14ac:dyDescent="0.35">
      <c r="A23" s="77" t="s">
        <v>341</v>
      </c>
      <c r="B23" s="75"/>
      <c r="C23" s="75"/>
      <c r="D23" s="75"/>
      <c r="E23" s="75">
        <v>51</v>
      </c>
      <c r="F23" s="75">
        <v>52</v>
      </c>
    </row>
    <row r="24" spans="1:19" ht="15" customHeight="1" x14ac:dyDescent="0.35">
      <c r="A24" s="77" t="s">
        <v>84</v>
      </c>
      <c r="B24" s="75">
        <v>53</v>
      </c>
      <c r="C24" s="75"/>
      <c r="D24" s="75"/>
      <c r="E24" s="75"/>
      <c r="F24" s="75"/>
    </row>
    <row r="25" spans="1:19" ht="15" customHeight="1" x14ac:dyDescent="0.35">
      <c r="A25" s="77" t="s">
        <v>357</v>
      </c>
      <c r="B25" s="75"/>
      <c r="C25" s="75">
        <v>54</v>
      </c>
      <c r="D25" s="75"/>
      <c r="E25" s="75"/>
      <c r="F25" s="75"/>
    </row>
    <row r="26" spans="1:19" ht="15" customHeight="1" x14ac:dyDescent="0.35">
      <c r="A26" s="77" t="s">
        <v>151</v>
      </c>
      <c r="B26" s="75"/>
      <c r="C26" s="75"/>
      <c r="D26" s="75">
        <v>55</v>
      </c>
      <c r="E26" s="75"/>
      <c r="F26" s="75"/>
    </row>
    <row r="27" spans="1:19" ht="15" customHeight="1" x14ac:dyDescent="0.35">
      <c r="A27" s="77" t="s">
        <v>152</v>
      </c>
      <c r="B27" s="75"/>
      <c r="C27" s="75"/>
      <c r="D27" s="75"/>
      <c r="E27" s="75">
        <v>56</v>
      </c>
      <c r="F27" s="75"/>
    </row>
    <row r="28" spans="1:19" ht="15" customHeight="1" x14ac:dyDescent="0.35">
      <c r="A28" s="77" t="s">
        <v>153</v>
      </c>
      <c r="B28" s="75"/>
      <c r="C28" s="75"/>
      <c r="D28" s="75"/>
      <c r="E28" s="75"/>
      <c r="F28" s="75">
        <v>57</v>
      </c>
    </row>
    <row r="29" spans="1:19" ht="15" customHeight="1" x14ac:dyDescent="0.35">
      <c r="A29" s="80" t="s">
        <v>356</v>
      </c>
      <c r="B29" s="75"/>
      <c r="C29" s="75"/>
      <c r="D29" s="75"/>
      <c r="E29" s="75"/>
      <c r="F29" s="75">
        <v>58</v>
      </c>
    </row>
    <row r="30" spans="1:19" ht="15" customHeight="1" x14ac:dyDescent="0.35">
      <c r="A30" s="79" t="s">
        <v>343</v>
      </c>
      <c r="B30" s="75"/>
      <c r="C30" s="75">
        <v>59</v>
      </c>
      <c r="D30" s="75"/>
      <c r="E30" s="75"/>
      <c r="F30" s="75"/>
    </row>
    <row r="31" spans="1:19" ht="15" customHeight="1" x14ac:dyDescent="0.35">
      <c r="A31" s="83" t="s">
        <v>354</v>
      </c>
      <c r="B31" s="75"/>
      <c r="C31" s="75"/>
      <c r="D31" s="75">
        <v>60</v>
      </c>
      <c r="E31" s="75"/>
      <c r="F31" s="75"/>
    </row>
    <row r="32" spans="1:19" ht="15" customHeight="1" x14ac:dyDescent="0.35">
      <c r="A32" s="78" t="s">
        <v>127</v>
      </c>
      <c r="B32" s="75"/>
      <c r="C32" s="75"/>
      <c r="D32" s="75"/>
      <c r="E32" s="75">
        <v>61</v>
      </c>
      <c r="F32" s="75"/>
    </row>
    <row r="33" spans="1:6" ht="15" customHeight="1" x14ac:dyDescent="0.35">
      <c r="A33" s="80" t="s">
        <v>347</v>
      </c>
      <c r="B33" s="75"/>
      <c r="C33" s="75"/>
      <c r="D33" s="75"/>
      <c r="E33" s="75"/>
      <c r="F33" s="75">
        <v>62</v>
      </c>
    </row>
    <row r="34" spans="1:6" ht="15" customHeight="1" x14ac:dyDescent="0.35">
      <c r="A34" s="80" t="s">
        <v>192</v>
      </c>
      <c r="B34" s="75">
        <v>63</v>
      </c>
      <c r="C34" s="75">
        <v>64</v>
      </c>
      <c r="D34" s="75">
        <v>65</v>
      </c>
      <c r="E34" s="75">
        <v>66</v>
      </c>
      <c r="F34" s="75">
        <v>67</v>
      </c>
    </row>
    <row r="35" spans="1:6" ht="15" customHeight="1" x14ac:dyDescent="0.35">
      <c r="A35" s="80" t="s">
        <v>192</v>
      </c>
      <c r="B35" s="75">
        <v>68</v>
      </c>
      <c r="C35" s="75">
        <v>69</v>
      </c>
      <c r="D35" s="75">
        <v>70</v>
      </c>
      <c r="E35" s="75">
        <v>71</v>
      </c>
      <c r="F35" s="75">
        <v>72</v>
      </c>
    </row>
    <row r="36" spans="1:6" ht="15" customHeight="1" x14ac:dyDescent="0.35">
      <c r="A36" s="80" t="s">
        <v>192</v>
      </c>
      <c r="B36" s="75"/>
      <c r="C36" s="75">
        <v>73</v>
      </c>
      <c r="D36" s="75">
        <v>74</v>
      </c>
      <c r="E36" s="75">
        <v>75</v>
      </c>
      <c r="F36" s="75">
        <v>76</v>
      </c>
    </row>
    <row r="37" spans="1:6" ht="15" customHeight="1" x14ac:dyDescent="0.35">
      <c r="A37" s="77" t="s">
        <v>51</v>
      </c>
      <c r="B37" s="75">
        <v>78</v>
      </c>
      <c r="C37" s="75"/>
      <c r="D37" s="75"/>
      <c r="E37" s="75"/>
      <c r="F37" s="75">
        <v>77</v>
      </c>
    </row>
    <row r="38" spans="1:6" ht="15" customHeight="1" x14ac:dyDescent="0.35">
      <c r="A38" s="77" t="s">
        <v>52</v>
      </c>
      <c r="B38" s="75"/>
      <c r="C38" s="75">
        <v>79</v>
      </c>
      <c r="D38" s="75">
        <v>80</v>
      </c>
      <c r="E38" s="75"/>
      <c r="F38" s="75"/>
    </row>
    <row r="39" spans="1:6" ht="15" customHeight="1" x14ac:dyDescent="0.35">
      <c r="A39" s="77" t="s">
        <v>350</v>
      </c>
      <c r="B39" s="75"/>
      <c r="C39" s="75"/>
      <c r="D39" s="75"/>
      <c r="E39" s="75">
        <v>81</v>
      </c>
      <c r="F39" s="75"/>
    </row>
    <row r="40" spans="1:6" ht="15" customHeight="1" x14ac:dyDescent="0.35">
      <c r="A40" s="80" t="s">
        <v>188</v>
      </c>
      <c r="B40" s="75">
        <v>83</v>
      </c>
      <c r="C40" s="75"/>
      <c r="D40" s="75"/>
      <c r="E40" s="75"/>
      <c r="F40" s="75">
        <v>82</v>
      </c>
    </row>
    <row r="41" spans="1:6" ht="15" customHeight="1" x14ac:dyDescent="0.35">
      <c r="A41" s="80" t="s">
        <v>126</v>
      </c>
      <c r="B41" s="75">
        <v>84</v>
      </c>
      <c r="C41" s="75">
        <v>85</v>
      </c>
      <c r="D41" s="75">
        <v>86</v>
      </c>
      <c r="E41" s="75"/>
      <c r="F41" s="75"/>
    </row>
    <row r="42" spans="1:6" ht="15" customHeight="1" x14ac:dyDescent="0.35">
      <c r="A42" s="80" t="s">
        <v>342</v>
      </c>
      <c r="B42" s="75">
        <v>89</v>
      </c>
      <c r="C42" s="75">
        <v>90</v>
      </c>
      <c r="D42" s="75"/>
      <c r="E42" s="75">
        <v>87</v>
      </c>
      <c r="F42" s="75">
        <v>88</v>
      </c>
    </row>
    <row r="43" spans="1:6" ht="15" customHeight="1" x14ac:dyDescent="0.35">
      <c r="A43" s="77" t="s">
        <v>345</v>
      </c>
      <c r="B43" s="75"/>
      <c r="C43" s="75"/>
      <c r="D43" s="75">
        <v>91</v>
      </c>
      <c r="E43" s="75"/>
      <c r="F43" s="75"/>
    </row>
    <row r="44" spans="1:6" ht="15" customHeight="1" x14ac:dyDescent="0.35">
      <c r="A44" s="83" t="s">
        <v>81</v>
      </c>
      <c r="B44" s="75">
        <v>94</v>
      </c>
      <c r="C44" s="75"/>
      <c r="D44" s="75"/>
      <c r="E44" s="75">
        <v>92</v>
      </c>
      <c r="F44" s="75">
        <v>93</v>
      </c>
    </row>
    <row r="45" spans="1:6" ht="15" customHeight="1" x14ac:dyDescent="0.35">
      <c r="A45" s="80" t="s">
        <v>230</v>
      </c>
      <c r="B45" s="75">
        <v>95</v>
      </c>
      <c r="C45" s="75">
        <v>96</v>
      </c>
      <c r="D45" s="75">
        <v>97</v>
      </c>
      <c r="E45" s="75">
        <v>98</v>
      </c>
      <c r="F45" s="75">
        <v>99</v>
      </c>
    </row>
    <row r="46" spans="1:6" ht="15" customHeight="1" x14ac:dyDescent="0.35">
      <c r="A46" s="80" t="s">
        <v>230</v>
      </c>
      <c r="B46" s="75"/>
      <c r="C46" s="75"/>
      <c r="D46" s="75"/>
      <c r="E46" s="75">
        <v>100</v>
      </c>
      <c r="F46" s="75"/>
    </row>
    <row r="47" spans="1:6" ht="15" customHeight="1" x14ac:dyDescent="0.35">
      <c r="A47" s="77" t="s">
        <v>369</v>
      </c>
      <c r="B47" s="75"/>
      <c r="C47" s="75">
        <v>101</v>
      </c>
      <c r="D47" s="75"/>
      <c r="E47" s="75"/>
      <c r="F47" s="75"/>
    </row>
    <row r="48" spans="1:6" ht="15" customHeight="1" x14ac:dyDescent="0.35">
      <c r="A48" s="80" t="s">
        <v>348</v>
      </c>
      <c r="B48" s="75"/>
      <c r="C48" s="75"/>
      <c r="D48" s="75">
        <v>102</v>
      </c>
      <c r="E48" s="75"/>
      <c r="F48" s="75"/>
    </row>
    <row r="49" spans="1:6" ht="15" customHeight="1" x14ac:dyDescent="0.35">
      <c r="A49" s="79" t="s">
        <v>114</v>
      </c>
      <c r="B49" s="75">
        <v>105</v>
      </c>
      <c r="C49" s="75"/>
      <c r="D49" s="75"/>
      <c r="E49" s="75">
        <v>103</v>
      </c>
      <c r="F49" s="75">
        <v>104</v>
      </c>
    </row>
    <row r="50" spans="1:6" ht="15" customHeight="1" x14ac:dyDescent="0.35">
      <c r="A50" s="80" t="s">
        <v>166</v>
      </c>
      <c r="B50" s="75"/>
      <c r="C50" s="75">
        <v>106</v>
      </c>
      <c r="D50" s="75">
        <v>107</v>
      </c>
      <c r="E50" s="75">
        <v>108</v>
      </c>
      <c r="F50" s="75"/>
    </row>
    <row r="51" spans="1:6" ht="15" customHeight="1" x14ac:dyDescent="0.35">
      <c r="A51" s="80" t="s">
        <v>229</v>
      </c>
      <c r="B51" s="75">
        <v>109</v>
      </c>
      <c r="C51" s="75"/>
      <c r="D51" s="75"/>
      <c r="E51" s="75"/>
      <c r="F51" s="75">
        <v>110</v>
      </c>
    </row>
    <row r="52" spans="1:6" ht="15" customHeight="1" x14ac:dyDescent="0.35">
      <c r="A52" s="93" t="s">
        <v>3</v>
      </c>
      <c r="B52" s="75">
        <f>COUNTA(B4:B51)</f>
        <v>22</v>
      </c>
      <c r="C52" s="75">
        <f t="shared" ref="C52:F52" si="0">COUNTA(C4:C51)</f>
        <v>22</v>
      </c>
      <c r="D52" s="75">
        <f t="shared" si="0"/>
        <v>22</v>
      </c>
      <c r="E52" s="75">
        <f t="shared" si="0"/>
        <v>22</v>
      </c>
      <c r="F52" s="75">
        <f t="shared" si="0"/>
        <v>22</v>
      </c>
    </row>
  </sheetData>
  <mergeCells count="2">
    <mergeCell ref="A1:F1"/>
    <mergeCell ref="A2:F2"/>
  </mergeCells>
  <conditionalFormatting sqref="A1:A1048576">
    <cfRule type="duplicateValues" dxfId="0" priority="1"/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Hall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niqrc</dc:creator>
  <cp:lastModifiedBy>Vijayaragavan E 100540</cp:lastModifiedBy>
  <cp:lastPrinted>2026-02-20T16:29:56Z</cp:lastPrinted>
  <dcterms:created xsi:type="dcterms:W3CDTF">2015-06-05T18:17:20Z</dcterms:created>
  <dcterms:modified xsi:type="dcterms:W3CDTF">2026-02-20T16:31:00Z</dcterms:modified>
</cp:coreProperties>
</file>